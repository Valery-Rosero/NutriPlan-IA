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Resu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<sst xmlns="http://schemas.openxmlformats.org/spreadsheetml/2006/main" count="583" uniqueCount="224">
  <si>
    <t xml:space="preserve">NutriPlan AI — Product Backlog (Scrum)</t>
  </si>
  <si>
    <t xml:space="preserve">Ordenado por prioridad. Sprints sugeridos de 2 semanas, equipo de 5-6 personas. Story points en escala Fibonacci.</t>
  </si>
  <si>
    <t xml:space="preserve">ID</t>
  </si>
  <si>
    <t xml:space="preserve">Épica</t>
  </si>
  <si>
    <t xml:space="preserve">Descripción de la épica</t>
  </si>
  <si>
    <t xml:space="preserve">Subárea</t>
  </si>
  <si>
    <t xml:space="preserve">Historia de usuario</t>
  </si>
  <si>
    <t xml:space="preserve">Prioridad</t>
  </si>
  <si>
    <t xml:space="preserve">MoSCoW</t>
  </si>
  <si>
    <t xml:space="preserve">Story Points</t>
  </si>
  <si>
    <t xml:space="preserve">Sprint sugerido</t>
  </si>
  <si>
    <t xml:space="preserve">Criterios de aceptación</t>
  </si>
  <si>
    <t xml:space="preserve">Estado</t>
  </si>
  <si>
    <t xml:space="preserve">HU-01</t>
  </si>
  <si>
    <t xml:space="preserve">Compras, presupuesto y despensa</t>
  </si>
  <si>
    <t xml:space="preserve">Convierte el plan de comidas en una lista de compras accionable, controla el gasto frente al presupuesto declarado, reduce el desperdicio de alimentos y prepara el terreno para foto/OCR e integraciones con supermercados.</t>
  </si>
  <si>
    <t xml:space="preserve">Compras</t>
  </si>
  <si>
    <t xml:space="preserve">Como usuario, quiero generar automáticamente la lista de compras a partir de mi plan semanal, para no armarla manualmente.</t>
  </si>
  <si>
    <t xml:space="preserve">Alta</t>
  </si>
  <si>
    <t xml:space="preserve">Must</t>
  </si>
  <si>
    <t xml:space="preserve">Sprint 3</t>
  </si>
  <si>
    <t xml:space="preserve">Dado un plan semanal ya generado con 21 comidas, cuando toco "Generar lista de compras", entonces los ingredientes que se repiten en 2 o más recetas aparecen como una sola línea con la suma exacta de cantidades (ej. "3 tazas de garbanzos" en vez de 3 líneas separadas).</t>
  </si>
  <si>
    <t xml:space="preserve">Por hacer</t>
  </si>
  <si>
    <t xml:space="preserve">HU-02</t>
  </si>
  <si>
    <t xml:space="preserve">Como usuario, quiero que los ingredientes que ya tengo en despensa no aparezcan como pendientes de comprar.</t>
  </si>
  <si>
    <t xml:space="preserve">Dado que tengo 200g de lentejas en despensa y el plan requiere 250g en total, cuando se genera la lista de compras, entonces el ítem "lentejas" aparece con cantidad neta a comprar = 50g.
Caso borde: si la despensa cubre el 100% del requerimiento, el ítem aparece tachado con la nota "ya tienes esto" en vez de omitirse silenciosamente.</t>
  </si>
  <si>
    <t xml:space="preserve">HU-03</t>
  </si>
  <si>
    <t xml:space="preserve">Como usuario, quiero tachar o eliminar ítems de la lista manualmente, para ajustarla a mi realidad.</t>
  </si>
  <si>
    <t xml:space="preserve">Dado que estoy viendo mi lista de compras, cuando toco el checkbox de un ítem, entonces el ítem se tacha visualmente y se mueve al final de su sección; además puedo agregar un ítem libre mediante un campo de texto que no queda vinculado a ninguna receta.</t>
  </si>
  <si>
    <t xml:space="preserve">HU-04</t>
  </si>
  <si>
    <t xml:space="preserve">Presupuesto</t>
  </si>
  <si>
    <t xml:space="preserve">Como usuario, quiero ver el costo estimado de mi plan semanal antes de ir a comprar, para saber si se ajusta a mi presupuesto.</t>
  </si>
  <si>
    <t xml:space="preserve">Dado un plan semanal generado, cuando abro el resumen, entonces veo el costo total estimado (suma de precio_promedio x cantidad por ingrediente) desglosado por receta, con la fuente y antigüedad del precio visible (ej. "precios promedio Nariño, actualizados hace 5 días").</t>
  </si>
  <si>
    <t xml:space="preserve">HU-05</t>
  </si>
  <si>
    <t xml:space="preserve">Como usuario, quiero que la app me avise si mi plan supera el presupuesto declarado, antes de confirmarlo.</t>
  </si>
  <si>
    <t xml:space="preserve">Sprint 4</t>
  </si>
  <si>
    <t xml:space="preserve">Dado un presupuesto semanal de $60.000 y un plan con costo estimado de $68.000, cuando intento confirmar el plan, entonces aparece una alerta bloqueante "Tu plan cuesta $8.000 más de tu presupuesto" con las opciones "Ajustar automáticamente" y "Confirmar de todos modos"; no puedo avanzar sin elegir una.</t>
  </si>
  <si>
    <t xml:space="preserve">HU-06</t>
  </si>
  <si>
    <t xml:space="preserve">Comunidad y confianza</t>
  </si>
  <si>
    <t xml:space="preserve">Habilita el intercambio social de recetas y comentarios entre usuarios, y protege los datos sensibles con cifrado, consentimiento y moderación de contenido.</t>
  </si>
  <si>
    <t xml:space="preserve">Privacidad</t>
  </si>
  <si>
    <t xml:space="preserve">Como usuario, quiero que mis datos de salud (alergias, peso, condiciones médicas) estén cifrados, para proteger mi información sensible.</t>
  </si>
  <si>
    <t xml:space="preserve">Sprint 1</t>
  </si>
  <si>
    <t xml:space="preserve">Dado que guardo una condición médica en mi perfil, cuando el dato se transmite del cliente al servidor y se almacena, entonces la transmisión usa TLS 1.2 o superior y el campo se almacena cifrado en la base de datos, verificable en una auditoría de seguridad; ningún log de la aplicación muestra el valor en texto plano.</t>
  </si>
  <si>
    <t xml:space="preserve">HU-07</t>
  </si>
  <si>
    <t xml:space="preserve">Como usuario, quiero poder exportar o eliminar todos mis datos de la app, para tener control sobre mi información.</t>
  </si>
  <si>
    <t xml:space="preserve">Dado que estoy en configuración de privacidad, cuando toco "Eliminar mi cuenta y datos" y confirmo reingresando mi contraseña, entonces todos mis datos personales se eliminan o anonimizan en un plazo máximo de 30 días, con confirmación enviada por correo.</t>
  </si>
  <si>
    <t xml:space="preserve">HU-08</t>
  </si>
  <si>
    <t xml:space="preserve">Nutrición y feedback</t>
  </si>
  <si>
    <t xml:space="preserve">Muestra información nutricional confiable por receta y por día, y usa las calificaciones y comentarios del usuario para mejorar las próximas recomendaciones.</t>
  </si>
  <si>
    <t xml:space="preserve">Nutrición</t>
  </si>
  <si>
    <t xml:space="preserve">Como usuario, quiero ver las calorías y macronutrientes de cada receta por porción, para tomar decisiones informadas.</t>
  </si>
  <si>
    <t xml:space="preserve">Sprint 2</t>
  </si>
  <si>
    <t xml:space="preserve">Dado cualquier receta del catálogo, cuando abro su detalle, entonces veo kcal, proteína (g), carbohidratos (g) y grasa (g) por porción, visibles sin necesidad de scroll adicional, calculados desde la base de datos nutricional (no estimados manualmente por el equipo de contenido).</t>
  </si>
  <si>
    <t xml:space="preserve">HU-09</t>
  </si>
  <si>
    <t xml:space="preserve">Feedback</t>
  </si>
  <si>
    <t xml:space="preserve">Como usuario, quiero calificar una receta después de cocinarla, para mejorar mis futuras recomendaciones.</t>
  </si>
  <si>
    <t xml:space="preserve">Dado que marco una receta como "cocinada", cuando confirmo esa acción, entonces se despliega un selector de 1 a 5 estrellas obligatorio antes de cerrar el modal, y la calificación queda asociada a receta+usuario+fecha en el historial.</t>
  </si>
  <si>
    <t xml:space="preserve">HU-10</t>
  </si>
  <si>
    <t xml:space="preserve">Como usuario, quiero que mis calificaciones afecten las próximas recomendaciones, para no volver a ver recetas que no me gustaron.</t>
  </si>
  <si>
    <t xml:space="preserve">Dado que califiqué "Sopa de lentejas" con 1 estrella, cuando se genera mi próximo plan semanal, entonces esa receta específica no vuelve a aparecer durante al menos 60 días, y recetas con ingredientes principales similares bajan su prioridad en el ranking un 20%.</t>
  </si>
  <si>
    <t xml:space="preserve">HU-11</t>
  </si>
  <si>
    <t xml:space="preserve">Perfil y personalización</t>
  </si>
  <si>
    <t xml:space="preserve">Captura y mantiene las preferencias, restricciones y ajustes finos del usuario (dieta, alergias, presupuesto, macros, tiempo de cocina) que alimentan cada recomendación de la app.</t>
  </si>
  <si>
    <t xml:space="preserve">Perfil</t>
  </si>
  <si>
    <t xml:space="preserve">Como usuaria nueva, quiero indicar mi tipo de dieta (omnívoro, vegetariano, vegano, etc.) para que la app filtre recetas compatibles desde el primer uso.</t>
  </si>
  <si>
    <t xml:space="preserve">Dado que estoy en el paso "Estilo de alimentación", cuando selecciono "Vegetariano" y confirmo, entonces mi perfil guarda dieta_tipo="vegetariano" y el primer plan generado tiene 0% de recetas con carne o pescado como ingrediente principal.
Caso borde: si no selecciono ninguna opción, el botón "Continuar" queda deshabilitado y se muestra "Selecciona una opción para continuar".</t>
  </si>
  <si>
    <t xml:space="preserve">HU-12</t>
  </si>
  <si>
    <t xml:space="preserve">Como usuaria con alergias, quiero declarar mis alergias alimentarias para que la app nunca me sugiera recetas que las contengan.</t>
  </si>
  <si>
    <t xml:space="preserve">Dado que marqué "Frutos secos" y "Mariscos" como alergias, cuando se genera cualquier plan o resultado de búsqueda, entonces 0 recetas devueltas contienen esos alérgenos en su lista de ingredientes, incluida cualquier sustitución sugerida.
Caso borde: si una receta ya guardada en mis favoritos contiene un alérgeno recién declarado, se elimina automáticamente de favoritos y se me notifica el motivo.</t>
  </si>
  <si>
    <t xml:space="preserve">HU-13</t>
  </si>
  <si>
    <t xml:space="preserve">Como usuario, quiero declarar mi presupuesto semanal o mensual de comida para que los planes generados respeten ese límite.</t>
  </si>
  <si>
    <t xml:space="preserve">Dado que ingreso $60.000 como presupuesto semanal para 2 personas, cuando guardo el dato, entonces el valor queda reflejado como techo de gasto en la pantalla de plan semanal.
Caso borde: el campo rechaza valores no numéricos o menores a $10.000 mostrando "Ingresa un monto válido", y no permite avanzar hasta corregirlo.</t>
  </si>
  <si>
    <t xml:space="preserve">HU-14</t>
  </si>
  <si>
    <t xml:space="preserve">Como usuario, quiero indicar cuántas personas o porciones cocino habitualmente para que las cantidades vengan ajustadas desde el inicio.</t>
  </si>
  <si>
    <t xml:space="preserve">Dado que indiqué "2 personas" en el onboarding, cuando se genera cualquier receta nueva, entonces la porción por defecto se muestra en 2 y las cantidades de ingredientes se calculan con el factor porciones/porción_base (ej. base 4 → factor 0.5).</t>
  </si>
  <si>
    <t xml:space="preserve">HU-15</t>
  </si>
  <si>
    <t xml:space="preserve">Como usuario, quiero poder editar mi perfil (dieta, alergias, presupuesto) en cualquier momento, no solo durante el registro.</t>
  </si>
  <si>
    <t xml:space="preserve">Dado que tengo un perfil ya creado, cuando entro a "Mi perfil" y cambio mi presupuesto de $60.000 a $40.000, entonces el plan de la semana en curso recalcula el gasto restante contra el nuevo monto sin necesidad de cerrar sesión.
Caso borde: si el nuevo presupuesto es menor al gasto ya registrado esa semana, se muestra "Ya superaste tu nuevo presupuesto" sin bloquear el guardado del cambio.</t>
  </si>
  <si>
    <t xml:space="preserve">HU-16</t>
  </si>
  <si>
    <t xml:space="preserve">Planificación inteligente de comidas</t>
  </si>
  <si>
    <t xml:space="preserve">Genera, ajusta y explica los planes de comidas diarios y semanales: motor de recomendación, escalado de porciones, adaptación de recetas, asistente conversacional y recordatorios.</t>
  </si>
  <si>
    <t xml:space="preserve">Plan de comidas</t>
  </si>
  <si>
    <t xml:space="preserve">Como usuario, quiero recibir un plan de comidas semanal generado automáticamente, para no tener que decidir qué cocinar cada día.</t>
  </si>
  <si>
    <t xml:space="preserve">Dado que mi perfil tiene dieta, alergias y presupuesto completos, cuando toco "Generar plan semanal", entonces se generan 21 comidas (7 días x 3 comidas), 0 de ellas viola mis alergias o dieta, el tiempo de generación es ≤5 segundos en el 95% de las mediciones, y el costo total estimado se muestra junto al presupuesto declarado.</t>
  </si>
  <si>
    <t xml:space="preserve">HU-17</t>
  </si>
  <si>
    <t xml:space="preserve">Como usuario, quiero cambiar una comida específica del plan por una alternativa sugerida, sin regenerar todo el plan.</t>
  </si>
  <si>
    <t xml:space="preserve">Dado que estoy viendo la cena del jueves en mi plan semanal, cuando toco "Cambiar", entonces se muestran entre 2 y 4 alternativas compatibles con mi perfil; al elegir una, solo esa celda del plan cambia y el resumen de calorías y gasto se recalcula sin refrescar el resto del plan.</t>
  </si>
  <si>
    <t xml:space="preserve">HU-18</t>
  </si>
  <si>
    <t xml:space="preserve">Recetas</t>
  </si>
  <si>
    <t xml:space="preserve">Como usuario, quiero cambiar el número de porciones de una receta y que las cantidades de ingredientes se recalculen automáticamente.</t>
  </si>
  <si>
    <t xml:space="preserve">Dado que una receta base para 4 porciones lleva 200g de garbanzos, cuando cambio a 6 porciones, entonces la cantidad se recalcula a 300g (factor 1.5) en menos de 200ms, y la información nutricional se multiplica por el mismo factor.</t>
  </si>
  <si>
    <t xml:space="preserve">HU-19</t>
  </si>
  <si>
    <t xml:space="preserve">Como usuario, quiero que la lista esté organizada por sección del supermercado (verdulería, lácteos, despensa), para comprar más rápido.</t>
  </si>
  <si>
    <t xml:space="preserve">Media</t>
  </si>
  <si>
    <t xml:space="preserve">Should</t>
  </si>
  <si>
    <t xml:space="preserve">Dado una lista de compras con 15 ítems de distintas categorías, cuando se muestra la lista, entonces los ítems se agrupan bajo mínimo 4 encabezados de sección; si arrastro un encabezado a otra posición, el nuevo orden se recuerda en la siguiente lista generada.</t>
  </si>
  <si>
    <t xml:space="preserve">HU-20</t>
  </si>
  <si>
    <t xml:space="preserve">Como usuario que excede su presupuesto, quiero recibir sugerencias automáticas de reemplazo (ej. proteína más económica) para ajustarme sin rehacer todo el plan.</t>
  </si>
  <si>
    <t xml:space="preserve">Sprint 6</t>
  </si>
  <si>
    <t xml:space="preserve">Dado que mi plan excede el presupuesto en $8.000, cuando toco "Ajustar automáticamente", entonces el sistema propone al menos 2 sustituciones concretas con el ahorro exacto (ej. "cambiar salmón por atún enlatado: ahorras $6.500") y recalcula el nuevo total en tiempo real al aceptar cada una.</t>
  </si>
  <si>
    <t xml:space="preserve">HU-21</t>
  </si>
  <si>
    <t xml:space="preserve">Como usuario, quiero ver mi gasto acumulado del mes frente a mi presupuesto mensual, para tomar decisiones informadas.</t>
  </si>
  <si>
    <t xml:space="preserve">Sprint 5</t>
  </si>
  <si>
    <t xml:space="preserve">Dado que registré compras durante el mes, cuando abro la pantalla de despensa y gasto, entonces veo gasto_acumulado/presupuesto_mensual con el porcentaje exacto (ej. "64% — $38.200 de $60.000"); si supera el 100%, la barra cambia a color de alerta.</t>
  </si>
  <si>
    <t xml:space="preserve">HU-22</t>
  </si>
  <si>
    <t xml:space="preserve">Desperdicio</t>
  </si>
  <si>
    <t xml:space="preserve">Como usuario, quiero registrar la fecha de vencimiento de los ingredientes de mi despensa, para que la app me avise antes de que se echen a perder.</t>
  </si>
  <si>
    <t xml:space="preserve">Dado que agrego "cilantro" a mi despensa, cuando completo el campo opcional de fecha de vencimiento, entonces el ítem aparece en la sección "por vencer" ordenado ascendentemente por días restantes.
Caso borde: si no indico fecha, el ítem se lista en "sin fecha" y no genera alertas.</t>
  </si>
  <si>
    <t xml:space="preserve">HU-23</t>
  </si>
  <si>
    <t xml:space="preserve">Como usuario, quiero recibir una notificación cuando un ingrediente esté por vencer, junto con recetas que lo usan.</t>
  </si>
  <si>
    <t xml:space="preserve">Dado un ingrediente que vence en 2 días, cuando el sistema ejecuta su revisión diaria programada, entonces se envía una notificación push con al menos 1 receta real del catálogo que use ese ingrediente como principal, nunca una sugerencia genérica de "cocina algo con esto".</t>
  </si>
  <si>
    <t xml:space="preserve">HU-24</t>
  </si>
  <si>
    <t xml:space="preserve">Como usuario, quiero dar consentimiento explícito antes de que mis datos se usen para funciones de comunidad, para decidir qué comparto.</t>
  </si>
  <si>
    <t xml:space="preserve">Dado que nunca he usado funciones de comunidad, cuando intento publicar una receta o comentario por primera vez, entonces se muestra un modal de consentimiento explícito explicando qué se hará público; sin aceptar, la acción de publicar queda bloqueada.</t>
  </si>
  <si>
    <t xml:space="preserve">HU-25</t>
  </si>
  <si>
    <t xml:space="preserve">Como usuario con una condición médica, quiero ver sodio, azúcar y fibra por receta, para cuidar mi condición.</t>
  </si>
  <si>
    <t xml:space="preserve">Dado que declaré hipertensión en mi perfil, cuando abro el detalle nutricional expandido de una receta, entonces veo el contenido de sodio en mg junto con una referencia visual si supera el 30% de la ingesta diaria recomendada.</t>
  </si>
  <si>
    <t xml:space="preserve">HU-26</t>
  </si>
  <si>
    <t xml:space="preserve">Como usuario, quiero ver un resumen nutricional diario comparado contra mis objetivos, para saber si voy bien encaminado.</t>
  </si>
  <si>
    <t xml:space="preserve">Sprint 7</t>
  </si>
  <si>
    <t xml:space="preserve">Dado que marqué como cocinadas 2 de las 3 comidas de hoy, cuando abro "Mi día", entonces veo el total acumulado de kcal y macros de esas 2 comidas comparado contra mi objetivo diario, con la comida faltante mostrada como "pendiente" y no contabilizada como 0.</t>
  </si>
  <si>
    <t xml:space="preserve">HU-27</t>
  </si>
  <si>
    <t xml:space="preserve">Como usuario, quiero dejar un comentario corto sobre una receta (ej. 'muy salado'), para dar contexto además de la calificación numérica.</t>
  </si>
  <si>
    <t xml:space="preserve">Dado que califiqué una receta con 2 estrellas, cuando se me pregunta "¿qué pasó?", entonces puedo elegir una etiqueta rápida ("muy salado", "tardó más de lo esperado", "no me gustó el sabor") o escribir texto libre de hasta 200 caracteres; el campo es opcional y puedo omitirlo con un toque.</t>
  </si>
  <si>
    <t xml:space="preserve">HU-28</t>
  </si>
  <si>
    <t xml:space="preserve">Como usuario ocupado, quiero poder saltar el onboarding completo y completarlo después, para empezar a usar la app de inmediato.</t>
  </si>
  <si>
    <t xml:space="preserve">Dado que estoy en el paso 1 del onboarding, cuando toco "Completar después", entonces accedo directo al plan semanal con valores por defecto (sin restricciones, presupuesto no definido, 2 porciones) y veo un banner persistente "Completa tu perfil para mejores recomendaciones" hasta que lo complete o lo descarte 3 veces.</t>
  </si>
  <si>
    <t xml:space="preserve">HU-29</t>
  </si>
  <si>
    <t xml:space="preserve">Personalización</t>
  </si>
  <si>
    <t xml:space="preserve">Como usuario, quiero ajustar mi objetivo de proteína, carbohidratos y grasa para que las recetas sugeridas respeten mis macros.</t>
  </si>
  <si>
    <t xml:space="preserve">Dado que muevo el slider de proteína de 30% a 40% y lo suelto, cuando el sistema recalcula, entonces la franja de macros se actualiza en menos de 300ms (carbohidratos y grasa se ajustan para sumar 100%) y las recetas sugeridas desde ese momento aportan un mínimo de 35% de calorías provenientes de proteína.</t>
  </si>
  <si>
    <t xml:space="preserve">HU-30</t>
  </si>
  <si>
    <t xml:space="preserve">Como usuario con poco tiempo, quiero fijar un tiempo máximo de cocción para que solo se me sugieran recetas que respeten ese límite.</t>
  </si>
  <si>
    <t xml:space="preserve">Dado que fijo 20 minutos como tiempo máximo, cuando se genera el plan semanal o busco una receta, entonces ninguna receta con tiempo_preparación &gt; 20 minutos aparece en los resultados.
Caso borde: si no existe ninguna receta compatible con el resto de mis restricciones, se muestra "No encontramos recetas de 20 min o menos con tus restricciones actuales, ¿probamos con 30?" en vez de una lista vacía.</t>
  </si>
  <si>
    <t xml:space="preserve">HU-31</t>
  </si>
  <si>
    <t xml:space="preserve">Como usuario, quiero seleccionar mis cocinas favoritas (mediterránea, asiática, mexicana, etc.) para recibir más variedad dentro de mi gusto.</t>
  </si>
  <si>
    <t xml:space="preserve">Dado que selecciono "Mediterránea" y "Asiática" como cocinas favoritas, cuando se genera el plan semanal, entonces al menos el 60% de las 21 comidas del plan pertenecen a esas dos categorías, salvo que eso entre en conflicto con la regla de no repetir proteína (épica Motor de planes).</t>
  </si>
  <si>
    <t xml:space="preserve">HU-32</t>
  </si>
  <si>
    <t xml:space="preserve">Como usuario, quiero activar 'priorizar despensa' para que el sistema sugiera primero recetas que usan lo que ya tengo en casa.</t>
  </si>
  <si>
    <t xml:space="preserve">Dado que activo el interruptor "Priorizar despensa" y tengo garbanzos y espinaca en mi inventario, cuando se genera el plan del día, entonces las recetas que usan 2 o más ingredientes ya declarados en despensa ocupan las primeras 3 posiciones del ranking, por encima de recetas con igual calificación pero 0 ingredientes en despensa.</t>
  </si>
  <si>
    <t xml:space="preserve">HU-33</t>
  </si>
  <si>
    <t xml:space="preserve">Como usuario, quiero que el plan no repita la misma proteína principal más de 2 veces seguidas, para tener variedad.</t>
  </si>
  <si>
    <t xml:space="preserve">Dado que el almuerzo del lunes tiene pollo como proteína principal, cuando se genera el almuerzo del martes, entonces el martes no puede tener pollo como proteína principal; a partir del tercer día consecutivo sin esa proteína, puede volver a aparecer.</t>
  </si>
  <si>
    <t xml:space="preserve">HU-34</t>
  </si>
  <si>
    <t xml:space="preserve">Como usuario, quiero poder pedir un plan solo para hoy en vez de la semana completa, para decisiones del día a día.</t>
  </si>
  <si>
    <t xml:space="preserve">Dado que estoy en la pantalla principal, cuando toco "Plan de hoy", entonces se genera una sugerencia de desayuno/almuerzo/cena en menos de 3 segundos, usando como filtro adicional el tiempo disponible que declaré para hoy (si lo indiqué).</t>
  </si>
  <si>
    <t xml:space="preserve">HU-35</t>
  </si>
  <si>
    <t xml:space="preserve">Como usuario, quiero ver por qué se me sugirió cada receta, para confiar más en las recomendaciones.</t>
  </si>
  <si>
    <t xml:space="preserve">Dado que una receta fue sugerida porque usa un ingrediente de mi despensa próximo a vencer, cuando abro su detalle, entonces veo una etiqueta con el motivo específico (ej. "Sugerida porque tu cilantro vence en 2 días"), nunca un texto genérico como "Recomendado para ti".</t>
  </si>
  <si>
    <t xml:space="preserve">HU-36</t>
  </si>
  <si>
    <t xml:space="preserve">Como usuario, quiero que cantidades no lineales (especias, tiempos de horno) no escalen de forma absurda al cambiar porciones.</t>
  </si>
  <si>
    <t xml:space="preserve">Dado que una receta marca "1 cucharadita de sal" como ingrediente no lineal, cuando escalo de 4 a 12 porciones (factor 3), entonces la sal NO se multiplica linealmente a 3 cucharaditas, sino que se ajusta según la regla definida, dentro de un rango validado por un nutricionista.</t>
  </si>
  <si>
    <t xml:space="preserve">HU-37</t>
  </si>
  <si>
    <t xml:space="preserve">Como usuario con alguna intolerancia leve, quiero que la app me sugiera sustitutos de un ingrediente que no puedo comer dentro de una receta que me gusta.</t>
  </si>
  <si>
    <t xml:space="preserve">Dado que tengo intolerancia a la lactosa declarada y veo una receta con "leche" en sus ingredientes, cuando abro el detalle, entonces aparece un ícono de sustitución junto a "leche" que ofrece "leche de almendra" o "leche sin lactosa" validada contra mi restricción, con un toque para reemplazarla también en la lista de compras.</t>
  </si>
  <si>
    <t xml:space="preserve">HU-38</t>
  </si>
  <si>
    <t xml:space="preserve">Asistente IA</t>
  </si>
  <si>
    <t xml:space="preserve">Como usuario, quiero pedirle al asistente en lenguaje natural que me cambie una comida del día, para ajustar el plan sin navegar menús.</t>
  </si>
  <si>
    <t xml:space="preserve">Dado que escribo "cámbiame la cena, no quiero lentejas", cuando envío el mensaje, entonces el asistente responde en menos de 2 segundos con una alternativa que NO contiene lentejas y un botón "Aplicar" que reemplaza la cena sin salir del chat.</t>
  </si>
  <si>
    <t xml:space="preserve">HU-39</t>
  </si>
  <si>
    <t xml:space="preserve">Como usuario, quiero poder pedirle al asistente que arme mi próxima comida solo con lo que tengo en la despensa.</t>
  </si>
  <si>
    <t xml:space="preserve">Dado que escribo "arma algo solo con lo que tengo", cuando el asistente procesa el pedido, entonces la receta devuelta usa el 100% de sus ingredientes principales desde mi despensa declarada, sin agregar ítems que requieran compra.
Caso borde: si no es posible, responde explícitamente "no tengo una receta completa solo con tu despensa, te falta X" en vez de forzar una sugerencia incompleta.</t>
  </si>
  <si>
    <t xml:space="preserve">HU-40</t>
  </si>
  <si>
    <t xml:space="preserve">Notificaciones</t>
  </si>
  <si>
    <t xml:space="preserve">Como usuario, quiero recibir un recordatorio de cuál es mi próxima comida, para no olvidarme del plan del día.</t>
  </si>
  <si>
    <t xml:space="preserve">Dado que tengo notificaciones activadas y una cena planificada a las 20:00, cuando llegan las 19:30 (30 min configurable antes), entonces recibo una notificación push "Tu cena de hoy: [nombre receta]".
Caso borde: si ya marqué esa comida como cocinada antes de las 19:30, la notificación no se envía.</t>
  </si>
  <si>
    <t xml:space="preserve">HU-41</t>
  </si>
  <si>
    <t xml:space="preserve">Como usuario, quiero poder desactivar o ajustar la frecuencia de las notificaciones, para que no se sientan invasivas.</t>
  </si>
  <si>
    <t xml:space="preserve">Dado que estoy en configuración de notificaciones, cuando selecciono "Solo resumen semanal", entonces dejo de recibir recordatorios diarios de comida y en su lugar recibo un único resumen los domingos, aplicado desde la próxima notificación programada.</t>
  </si>
  <si>
    <t xml:space="preserve">HU-42</t>
  </si>
  <si>
    <t xml:space="preserve">Como usuario, quiero compartir mi lista de compras con otra persona de mi hogar, para dividir la compra.</t>
  </si>
  <si>
    <t xml:space="preserve">Baja</t>
  </si>
  <si>
    <t xml:space="preserve">Could</t>
  </si>
  <si>
    <t xml:space="preserve">Backlog futuro</t>
  </si>
  <si>
    <t xml:space="preserve">Dado que tengo una lista de compras generada, cuando toco "Compartir" y la otra persona abre el enlace, entonces si esa persona marca un ítem como comprado, el cambio se refleja en mi app en menos de 5 segundos.</t>
  </si>
  <si>
    <t xml:space="preserve">HU-43</t>
  </si>
  <si>
    <t xml:space="preserve">Como usuario, quiero que sobras de una receta (ej. medio pimiento) generen sugerencias de aprovechamiento para el día siguiente.</t>
  </si>
  <si>
    <t xml:space="preserve">Dado que marco "sobró medio pimiento" al finalizar una receta, cuando se genera el plan del día siguiente, entonces al menos una receta sugerida incluye pimiento entre sus ingredientes principales.</t>
  </si>
  <si>
    <t xml:space="preserve">HU-44</t>
  </si>
  <si>
    <t xml:space="preserve">Foto y OCR</t>
  </si>
  <si>
    <t xml:space="preserve">Como usuario, quiero tomar una foto de mi despensa o refrigerador para que la app identifique automáticamente los ingredientes disponibles.</t>
  </si>
  <si>
    <t xml:space="preserve">Won't (por ahora)</t>
  </si>
  <si>
    <t xml:space="preserve">Dado que tomo una foto de mi refrigerador, cuando la app procesa la imagen, entonces identifica correctamente al menos el 70% de los ítems presentes sobre una lista de prueba de 20 alimentos comunes, y me permite corregir o eliminar cualquier ítem mal identificado antes de guardar.</t>
  </si>
  <si>
    <t xml:space="preserve">HU-45</t>
  </si>
  <si>
    <t xml:space="preserve">Como usuario, quiero escanear el recibo de mi compra para actualizar mi despensa y mi gasto real automáticamente.</t>
  </si>
  <si>
    <t xml:space="preserve">Dado que subo la foto de un recibo de supermercado estándar, cuando se procesa con OCR, entonces se extraen correctamente ítem, cantidad y precio del 80% de las líneas en una muestra de prueba de 20 recibos; las líneas no reconocidas quedan marcadas para revisión manual, nunca se descartan silenciosamente.</t>
  </si>
  <si>
    <t xml:space="preserve">HU-46</t>
  </si>
  <si>
    <t xml:space="preserve">Supermercados</t>
  </si>
  <si>
    <t xml:space="preserve">Como usuario, quiero ver el precio actualizado de los ingredientes de mi lista según el supermercado que elijo, para presupuestar con precisión.</t>
  </si>
  <si>
    <t xml:space="preserve">Dado que selecciono "Supermercado X" como mi tienda habitual, cuando genero mi lista de compras, entonces cada ítem muestra el precio obtenido vía API de esa tienda con antigüedad ≤24 horas.
Caso borde: si la API falla, se usa el precio promedio histórico y se indica "precio estimado, no en tiempo real".</t>
  </si>
  <si>
    <t xml:space="preserve">HU-47</t>
  </si>
  <si>
    <t xml:space="preserve">Como usuario, quiero hacer el pedido de mi lista de compras directamente desde la app, para no tener que reingresarla en otra plataforma.</t>
  </si>
  <si>
    <t xml:space="preserve">Dado que tengo una lista de compras completa y un supermercado conectado, cuando toco "Pedir ahora", entonces los ítems se agregan al carrito externo vía su API y veo una pantalla de confirmación con el total antes de que se procese cualquier pago, sin cobros automáticos sin confirmación explícita.</t>
  </si>
  <si>
    <t xml:space="preserve">HU-48</t>
  </si>
  <si>
    <t xml:space="preserve">Comunidad</t>
  </si>
  <si>
    <t xml:space="preserve">Como usuario, quiero publicar una receta propia o una adaptación, para compartirla con otros usuarios.</t>
  </si>
  <si>
    <t xml:space="preserve">Dado que completo nombre, ingredientes y pasos de una receta propia, cuando toco "Publicar", entonces la receta pasa a estado "en revisión" si contiene palabras clave sensibles (ej. términos médicos), o se publica de inmediato en el feed comunitario si no las contiene.</t>
  </si>
  <si>
    <t xml:space="preserve">HU-49</t>
  </si>
  <si>
    <t xml:space="preserve">Como usuario, quiero comentar y dejar tips en recetas de otros usuarios, para enriquecer la experiencia colectiva.</t>
  </si>
  <si>
    <t xml:space="preserve">Dado una receta publicada en el feed comunitario, cuando otro usuario escribe un comentario, entonces el comentario aparece ordenado cronológicamente en menos de 3 segundos, con un botón "Reportar" visible en cada comentario.</t>
  </si>
  <si>
    <t xml:space="preserve">HU-50</t>
  </si>
  <si>
    <t xml:space="preserve">Como administrador de la plataforma, quiero moderar el contenido publicado por usuarios, para evitar spam o consejos nutricionales peligrosos.</t>
  </si>
  <si>
    <t xml:space="preserve">Dado que un comentario recibe 3 reportes de usuarios distintos, cuando se alcanza ese umbral, entonces el comentario se oculta automáticamente del feed público y queda en cola de revisión manual dentro de las siguientes 24 horas.</t>
  </si>
  <si>
    <t xml:space="preserve">HU-51</t>
  </si>
  <si>
    <t xml:space="preserve">Como usuario que cocina para varios días, quiero activar el modo 'batch cooking' para recibir recetas que rindan varias porciones y se conserven bien.</t>
  </si>
  <si>
    <t xml:space="preserve">Dado que activo el modo "Batch cooking", cuando se genera una receta de almuerzo o cena, entonces solo se sugieren recetas etiquetadas con rendimiento ≥4 porciones y con indicación de conservación (refrigerador o congelador) visible en el detalle.</t>
  </si>
  <si>
    <t xml:space="preserve">HU-52</t>
  </si>
  <si>
    <t xml:space="preserve">Como usuario, quiero indicar mi nivel de picante preferido para que las recetas se ajusten a mi tolerancia.</t>
  </si>
  <si>
    <t xml:space="preserve">Dado que fijo el nivel de picante en "Ninguno", cuando se genera cualquier receta, entonces se excluyen recetas con ingredientes marcados como picantes (ají, chile, pimienta de cayena), salvo que yo los agregue manualmente como opcional.</t>
  </si>
  <si>
    <t xml:space="preserve">HU-53</t>
  </si>
  <si>
    <t xml:space="preserve">Como usuario con poco tiempo, quiero pedir una 'versión rápida' de una receta para reducir el tiempo de preparación.</t>
  </si>
  <si>
    <t xml:space="preserve">Dado que una receta tiene un tiempo estimado de 40 minutos, cuando toco "Versión rápida", entonces se muestra una variante con tiempo estimado ≤25 minutos, señalando explícitamente qué pasos se combinaron o qué atajo se usó (ej. "salsa de tomate en lata en vez de tomates frescos").</t>
  </si>
  <si>
    <t xml:space="preserve">HU-54</t>
  </si>
  <si>
    <t xml:space="preserve">Como usuario, quiero usar respuestas rápidas predefinidas en el chat, para no tener que escribir siempre mi pedido.</t>
  </si>
  <si>
    <t xml:space="preserve">Dado que abro el asistente por primera vez en el día, cuando se carga la pantalla, entonces se muestran exactamente 3 chips de pedidos frecuentes basados en mi historial de uso (ej. si suelo pedir "menos calorías", ese chip aparece primero).</t>
  </si>
  <si>
    <t xml:space="preserve">Resumen del backlog</t>
  </si>
  <si>
    <t xml:space="preserve">Por prioridad</t>
  </si>
  <si>
    <t xml:space="preserve">Historias</t>
  </si>
  <si>
    <t xml:space="preserve">Story points</t>
  </si>
  <si>
    <t xml:space="preserve">Total</t>
  </si>
  <si>
    <t xml:space="preserve">Por épica</t>
  </si>
  <si>
    <t xml:space="preserve">Por sprint</t>
  </si>
  <si>
    <t xml:space="preserve">Sprint</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</si>
</sst>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D3123"/>
      <name val="Arial"/>
      <family val="0"/>
      <charset val="1"/>
    </font>
    <font>
      <i val="true"/>
      <sz val="10"/>
      <color rgb="FF5B5B4E"/>
      <name val="Arial"/>
      <family val="0"/>
      <charset val="1"/>
    </font>
    <font>
      <b val="true"/>
      <sz val="10"/>
      <color rgb="FFFFFFFF"/>
      <name val="Arial"/>
      <family val="0"/>
      <charset val="1"/>
    </font>
    <font>
      <sz val="10"/>
      <name val="Arial"/>
      <family val="0"/>
      <charset val="1"/>
    </font>
    <font>
      <b val="true"/>
      <sz val="10"/>
      <color rgb="FFB1512E"/>
      <name val="Arial"/>
      <family val="0"/>
      <charset val="1"/>
    </font>
    <font>
      <b val="true"/>
      <sz val="10"/>
      <color rgb="FF8A6A1E"/>
      <name val="Arial"/>
      <family val="0"/>
      <charset val="1"/>
    </font>
    <font>
      <b val="true"/>
      <sz val="10"/>
      <color rgb="FF2E4A34"/>
      <name val="Arial"/>
      <family val="0"/>
      <charset val="1"/>
    </font>
    <font>
      <b val="true"/>
      <sz val="10"/>
      <name val="Arial"/>
      <family val="0"/>
      <charset val="1"/>
    </font>
  </fonts>
  <fills count="6">
    <fill>
      <patternFill patternType="none"/>
    </fill>
    <fill>
      <patternFill patternType="gray125"/>
    </fill>
    <fill>
      <patternFill patternType="solid">
        <fgColor rgb="FF1D3123"/>
        <bgColor rgb="FF003300"/>
      </patternFill>
    </fill>
    <fill>
      <patternFill patternType="solid">
        <fgColor rgb="FFFBEDE6"/>
        <bgColor rgb="FFFBF3E0"/>
      </patternFill>
    </fill>
    <fill>
      <patternFill patternType="solid">
        <fgColor rgb="FFFBF3E0"/>
        <bgColor rgb="FFFBEDE6"/>
      </patternFill>
    </fill>
    <fill>
      <patternFill patternType="solid">
        <fgColor rgb="FFE7ECE5"/>
        <bgColor rgb="FFFBEDE6"/>
      </patternFill>
    </fill>
  </fills>
  <borders count="3">
    <border diagonalUp="false" diagonalDown="false">
      <left/>
      <right/>
      <top/>
      <bottom/>
      <diagonal/>
    </border>
    <border diagonalUp="false" diagonalDown="false">
      <left style="thin">
        <color rgb="FFD9D3C2"/>
      </left>
      <right style="thin">
        <color rgb="FFD9D3C2"/>
      </right>
      <top style="thin">
        <color rgb="FFD9D3C2"/>
      </top>
      <bottom style="thin">
        <color rgb="FFD9D3C2"/>
      </bottom>
      <diagonal/>
    </border>
    <border diagonalUp="false" diagonalDown="false">
      <left style="thin">
        <color rgb="FFD9D3C2"/>
      </left>
      <right/>
      <top style="thin">
        <color rgb="FFD9D3C2"/>
      </top>
      <bottom style="thin">
        <color rgb="FFD9D3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D3123"/>
          <bgColor rgb="FF000000"/>
        </patternFill>
      </fill>
    </dxf>
    <dxf>
      <fill>
        <patternFill patternType="solid">
          <bgColor rgb="FF000000"/>
        </patternFill>
      </fill>
    </dxf>
    <dxf>
      <fill>
        <patternFill patternType="solid">
          <fgColor rgb="FFFFFFFF"/>
          <bgColor rgb="FF000000"/>
        </patternFill>
      </fill>
    </dxf>
    <dxf>
      <fill>
        <patternFill patternType="solid">
          <fgColor rgb="FFE7ECE5"/>
          <bgColor rgb="FF000000"/>
        </patternFill>
      </fill>
    </dxf>
    <dxf>
      <fill>
        <patternFill patternType="solid">
          <fgColor rgb="FFFBEDE6"/>
          <bgColor rgb="FF000000"/>
        </patternFill>
      </fill>
    </dxf>
    <dxf>
      <fill>
        <patternFill patternType="solid">
          <fgColor rgb="FFFBF3E0"/>
          <bgColor rgb="FF000000"/>
        </patternFill>
      </fill>
    </dxf>
    <dxf>
      <fill>
        <patternFill patternType="solid">
          <fgColor rgb="FF2E4A34"/>
          <bgColor rgb="FF000000"/>
        </patternFill>
      </fill>
    </dxf>
    <dxf>
      <fill>
        <patternFill patternType="solid">
          <fgColor rgb="FF8A6A1E"/>
          <bgColor rgb="FF000000"/>
        </patternFill>
      </fill>
    </dxf>
    <dxf>
      <fill>
        <patternFill patternType="solid">
          <fgColor rgb="FFB1512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A1E"/>
      <rgbColor rgb="FF800080"/>
      <rgbColor rgb="FF008080"/>
      <rgbColor rgb="FFD9D3C2"/>
      <rgbColor rgb="FF808080"/>
      <rgbColor rgb="FF9999FF"/>
      <rgbColor rgb="FF993366"/>
      <rgbColor rgb="FFFBF3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ECE5"/>
      <rgbColor rgb="FFFBEDE6"/>
      <rgbColor rgb="FF99CCFF"/>
      <rgbColor rgb="FFFF99CC"/>
      <rgbColor rgb="FFCC99FF"/>
      <rgbColor rgb="FFFFCC99"/>
      <rgbColor rgb="FF3366FF"/>
      <rgbColor rgb="FF33CCCC"/>
      <rgbColor rgb="FF99CC00"/>
      <rgbColor rgb="FFFFCC00"/>
      <rgbColor rgb="FFFF9900"/>
      <rgbColor rgb="FFFF6600"/>
      <rgbColor rgb="FF5B5B4E"/>
      <rgbColor rgb="FF969696"/>
      <rgbColor rgb="FF003366"/>
      <rgbColor rgb="FF339966"/>
      <rgbColor rgb="FF003300"/>
      <rgbColor rgb="FF2E4A34"/>
      <rgbColor rgb="FFB1512E"/>
      <rgbColor rgb="FF993366"/>
      <rgbColor rgb="FF333399"/>
      <rgbColor rgb="FF1D31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Backlog" displayName="Backlog" ref="A4:K58" headerRowCount="1" totalsRowCount="0" totalsRowShown="0">
  <autoFilter ref="A4:K58"/>
  <tableColumns count="11">
    <tableColumn id="1" name="ID"/>
    <tableColumn id="2" name="Épica"/>
    <tableColumn id="3" name="Descripción de la épica"/>
    <tableColumn id="4" name="Subárea"/>
    <tableColumn id="5" name="Historia de usuario"/>
    <tableColumn id="6" name="Prioridad"/>
    <tableColumn id="7" name="MoSCoW"/>
    <tableColumn id="8" name="Story Points"/>
    <tableColumn id="9" name="Sprint sugerido"/>
    <tableColumn id="10" name="Criterios de aceptación"/>
    <tableColumn id="11" name="Estad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8"/>
    <col collapsed="false" customWidth="true" hidden="false" outlineLevel="0" max="4" min="4" style="0" width="22"/>
    <col collapsed="false" customWidth="true" hidden="false" outlineLevel="0" max="5" min="5" style="0" width="50"/>
    <col collapsed="false" customWidth="true" hidden="false" outlineLevel="0" max="6" min="6" style="0" width="10"/>
    <col collapsed="false" customWidth="true" hidden="false" outlineLevel="0" max="7" min="7" style="0" width="15"/>
    <col collapsed="false" customWidth="true" hidden="false" outlineLevel="0" max="8" min="8" style="0" width="8"/>
    <col collapsed="false" customWidth="true" hidden="false" outlineLevel="0" max="9" min="9" style="0" width="15"/>
    <col collapsed="false" customWidth="true" hidden="false" outlineLevel="0" max="10" min="10" style="0" width="64"/>
    <col collapsed="false" customWidth="true" hidden="false" outlineLevel="0" max="11" min="11" style="0" width="12"/>
  </cols>
  <sheetData>
    <row r="1" customFormat="false" ht="25.5" hidden="false" customHeight="true" outlineLevel="0" collapsed="false">
      <c r="A1" s="1" t="s">
        <v>0</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03.5" hidden="false" customHeight="true" outlineLevel="0" collapsed="false">
      <c r="A5" s="4" t="s">
        <v>13</v>
      </c>
      <c r="B5" s="4" t="s">
        <v>14</v>
      </c>
      <c r="C5" s="4" t="s">
        <v>15</v>
      </c>
      <c r="D5" s="4" t="s">
        <v>16</v>
      </c>
      <c r="E5" s="4" t="s">
        <v>17</v>
      </c>
      <c r="F5" s="5" t="s">
        <v>18</v>
      </c>
      <c r="G5" s="4" t="s">
        <v>19</v>
      </c>
      <c r="H5" s="4" t="n">
        <v>8</v>
      </c>
      <c r="I5" s="4" t="s">
        <v>20</v>
      </c>
      <c r="J5" s="4" t="s">
        <v>21</v>
      </c>
      <c r="K5" s="4" t="s">
        <v>22</v>
      </c>
    </row>
    <row r="6" customFormat="false" ht="103.5" hidden="false" customHeight="true" outlineLevel="0" collapsed="false">
      <c r="A6" s="4" t="s">
        <v>23</v>
      </c>
      <c r="B6" s="4" t="s">
        <v>14</v>
      </c>
      <c r="C6" s="4" t="s">
        <v>15</v>
      </c>
      <c r="D6" s="4" t="s">
        <v>16</v>
      </c>
      <c r="E6" s="4" t="s">
        <v>24</v>
      </c>
      <c r="F6" s="5" t="s">
        <v>18</v>
      </c>
      <c r="G6" s="4" t="s">
        <v>19</v>
      </c>
      <c r="H6" s="4" t="n">
        <v>5</v>
      </c>
      <c r="I6" s="4" t="s">
        <v>20</v>
      </c>
      <c r="J6" s="4" t="s">
        <v>25</v>
      </c>
      <c r="K6" s="4" t="s">
        <v>22</v>
      </c>
    </row>
    <row r="7" customFormat="false" ht="103.5" hidden="false" customHeight="true" outlineLevel="0" collapsed="false">
      <c r="A7" s="4" t="s">
        <v>26</v>
      </c>
      <c r="B7" s="4" t="s">
        <v>14</v>
      </c>
      <c r="C7" s="4" t="s">
        <v>15</v>
      </c>
      <c r="D7" s="4" t="s">
        <v>16</v>
      </c>
      <c r="E7" s="4" t="s">
        <v>27</v>
      </c>
      <c r="F7" s="5" t="s">
        <v>18</v>
      </c>
      <c r="G7" s="4" t="s">
        <v>19</v>
      </c>
      <c r="H7" s="4" t="n">
        <v>2</v>
      </c>
      <c r="I7" s="4" t="s">
        <v>20</v>
      </c>
      <c r="J7" s="4" t="s">
        <v>28</v>
      </c>
      <c r="K7" s="4" t="s">
        <v>22</v>
      </c>
    </row>
    <row r="8" customFormat="false" ht="103.5" hidden="false" customHeight="true" outlineLevel="0" collapsed="false">
      <c r="A8" s="4" t="s">
        <v>29</v>
      </c>
      <c r="B8" s="4" t="s">
        <v>14</v>
      </c>
      <c r="C8" s="4" t="s">
        <v>15</v>
      </c>
      <c r="D8" s="4" t="s">
        <v>30</v>
      </c>
      <c r="E8" s="4" t="s">
        <v>31</v>
      </c>
      <c r="F8" s="5" t="s">
        <v>18</v>
      </c>
      <c r="G8" s="4" t="s">
        <v>19</v>
      </c>
      <c r="H8" s="4" t="n">
        <v>8</v>
      </c>
      <c r="I8" s="4" t="s">
        <v>20</v>
      </c>
      <c r="J8" s="4" t="s">
        <v>32</v>
      </c>
      <c r="K8" s="4" t="s">
        <v>22</v>
      </c>
    </row>
    <row r="9" customFormat="false" ht="103.5" hidden="false" customHeight="true" outlineLevel="0" collapsed="false">
      <c r="A9" s="4" t="s">
        <v>33</v>
      </c>
      <c r="B9" s="4" t="s">
        <v>14</v>
      </c>
      <c r="C9" s="4" t="s">
        <v>15</v>
      </c>
      <c r="D9" s="4" t="s">
        <v>30</v>
      </c>
      <c r="E9" s="4" t="s">
        <v>34</v>
      </c>
      <c r="F9" s="5" t="s">
        <v>18</v>
      </c>
      <c r="G9" s="4" t="s">
        <v>19</v>
      </c>
      <c r="H9" s="4" t="n">
        <v>5</v>
      </c>
      <c r="I9" s="4" t="s">
        <v>35</v>
      </c>
      <c r="J9" s="4" t="s">
        <v>36</v>
      </c>
      <c r="K9" s="4" t="s">
        <v>22</v>
      </c>
    </row>
    <row r="10" customFormat="false" ht="90" hidden="false" customHeight="true" outlineLevel="0" collapsed="false">
      <c r="A10" s="4" t="s">
        <v>37</v>
      </c>
      <c r="B10" s="4" t="s">
        <v>38</v>
      </c>
      <c r="C10" s="4" t="s">
        <v>39</v>
      </c>
      <c r="D10" s="4" t="s">
        <v>40</v>
      </c>
      <c r="E10" s="4" t="s">
        <v>41</v>
      </c>
      <c r="F10" s="5" t="s">
        <v>18</v>
      </c>
      <c r="G10" s="4" t="s">
        <v>19</v>
      </c>
      <c r="H10" s="4" t="n">
        <v>8</v>
      </c>
      <c r="I10" s="4" t="s">
        <v>42</v>
      </c>
      <c r="J10" s="4" t="s">
        <v>43</v>
      </c>
      <c r="K10" s="4" t="s">
        <v>22</v>
      </c>
    </row>
    <row r="11" customFormat="false" ht="90" hidden="false" customHeight="true" outlineLevel="0" collapsed="false">
      <c r="A11" s="4" t="s">
        <v>44</v>
      </c>
      <c r="B11" s="4" t="s">
        <v>38</v>
      </c>
      <c r="C11" s="4" t="s">
        <v>39</v>
      </c>
      <c r="D11" s="4" t="s">
        <v>40</v>
      </c>
      <c r="E11" s="4" t="s">
        <v>45</v>
      </c>
      <c r="F11" s="5" t="s">
        <v>18</v>
      </c>
      <c r="G11" s="4" t="s">
        <v>19</v>
      </c>
      <c r="H11" s="4" t="n">
        <v>5</v>
      </c>
      <c r="I11" s="4" t="s">
        <v>35</v>
      </c>
      <c r="J11" s="4" t="s">
        <v>46</v>
      </c>
      <c r="K11" s="4" t="s">
        <v>22</v>
      </c>
    </row>
    <row r="12" customFormat="false" ht="90" hidden="false" customHeight="true" outlineLevel="0" collapsed="false">
      <c r="A12" s="4" t="s">
        <v>47</v>
      </c>
      <c r="B12" s="4" t="s">
        <v>48</v>
      </c>
      <c r="C12" s="4" t="s">
        <v>49</v>
      </c>
      <c r="D12" s="4" t="s">
        <v>50</v>
      </c>
      <c r="E12" s="4" t="s">
        <v>51</v>
      </c>
      <c r="F12" s="5" t="s">
        <v>18</v>
      </c>
      <c r="G12" s="4" t="s">
        <v>19</v>
      </c>
      <c r="H12" s="4" t="n">
        <v>5</v>
      </c>
      <c r="I12" s="4" t="s">
        <v>52</v>
      </c>
      <c r="J12" s="4" t="s">
        <v>53</v>
      </c>
      <c r="K12" s="4" t="s">
        <v>22</v>
      </c>
    </row>
    <row r="13" customFormat="false" ht="90" hidden="false" customHeight="true" outlineLevel="0" collapsed="false">
      <c r="A13" s="4" t="s">
        <v>54</v>
      </c>
      <c r="B13" s="4" t="s">
        <v>48</v>
      </c>
      <c r="C13" s="4" t="s">
        <v>49</v>
      </c>
      <c r="D13" s="4" t="s">
        <v>55</v>
      </c>
      <c r="E13" s="4" t="s">
        <v>56</v>
      </c>
      <c r="F13" s="5" t="s">
        <v>18</v>
      </c>
      <c r="G13" s="4" t="s">
        <v>19</v>
      </c>
      <c r="H13" s="4" t="n">
        <v>3</v>
      </c>
      <c r="I13" s="4" t="s">
        <v>20</v>
      </c>
      <c r="J13" s="4" t="s">
        <v>57</v>
      </c>
      <c r="K13" s="4" t="s">
        <v>22</v>
      </c>
    </row>
    <row r="14" customFormat="false" ht="90" hidden="false" customHeight="true" outlineLevel="0" collapsed="false">
      <c r="A14" s="4" t="s">
        <v>58</v>
      </c>
      <c r="B14" s="4" t="s">
        <v>48</v>
      </c>
      <c r="C14" s="4" t="s">
        <v>49</v>
      </c>
      <c r="D14" s="4" t="s">
        <v>55</v>
      </c>
      <c r="E14" s="4" t="s">
        <v>59</v>
      </c>
      <c r="F14" s="5" t="s">
        <v>18</v>
      </c>
      <c r="G14" s="4" t="s">
        <v>19</v>
      </c>
      <c r="H14" s="4" t="n">
        <v>8</v>
      </c>
      <c r="I14" s="4" t="s">
        <v>35</v>
      </c>
      <c r="J14" s="4" t="s">
        <v>60</v>
      </c>
      <c r="K14" s="4" t="s">
        <v>22</v>
      </c>
    </row>
    <row r="15" customFormat="false" ht="103.5" hidden="false" customHeight="true" outlineLevel="0" collapsed="false">
      <c r="A15" s="4" t="s">
        <v>61</v>
      </c>
      <c r="B15" s="4" t="s">
        <v>62</v>
      </c>
      <c r="C15" s="4" t="s">
        <v>63</v>
      </c>
      <c r="D15" s="4" t="s">
        <v>64</v>
      </c>
      <c r="E15" s="4" t="s">
        <v>65</v>
      </c>
      <c r="F15" s="5" t="s">
        <v>18</v>
      </c>
      <c r="G15" s="4" t="s">
        <v>19</v>
      </c>
      <c r="H15" s="4" t="n">
        <v>3</v>
      </c>
      <c r="I15" s="4" t="s">
        <v>42</v>
      </c>
      <c r="J15" s="4" t="s">
        <v>66</v>
      </c>
      <c r="K15" s="4" t="s">
        <v>22</v>
      </c>
    </row>
    <row r="16" customFormat="false" ht="117.75" hidden="false" customHeight="true" outlineLevel="0" collapsed="false">
      <c r="A16" s="4" t="s">
        <v>67</v>
      </c>
      <c r="B16" s="4" t="s">
        <v>62</v>
      </c>
      <c r="C16" s="4" t="s">
        <v>63</v>
      </c>
      <c r="D16" s="4" t="s">
        <v>64</v>
      </c>
      <c r="E16" s="4" t="s">
        <v>68</v>
      </c>
      <c r="F16" s="5" t="s">
        <v>18</v>
      </c>
      <c r="G16" s="4" t="s">
        <v>19</v>
      </c>
      <c r="H16" s="4" t="n">
        <v>5</v>
      </c>
      <c r="I16" s="4" t="s">
        <v>42</v>
      </c>
      <c r="J16" s="4" t="s">
        <v>69</v>
      </c>
      <c r="K16" s="4" t="s">
        <v>22</v>
      </c>
    </row>
    <row r="17" customFormat="false" ht="90" hidden="false" customHeight="true" outlineLevel="0" collapsed="false">
      <c r="A17" s="4" t="s">
        <v>70</v>
      </c>
      <c r="B17" s="4" t="s">
        <v>62</v>
      </c>
      <c r="C17" s="4" t="s">
        <v>63</v>
      </c>
      <c r="D17" s="4" t="s">
        <v>64</v>
      </c>
      <c r="E17" s="4" t="s">
        <v>71</v>
      </c>
      <c r="F17" s="5" t="s">
        <v>18</v>
      </c>
      <c r="G17" s="4" t="s">
        <v>19</v>
      </c>
      <c r="H17" s="4" t="n">
        <v>3</v>
      </c>
      <c r="I17" s="4" t="s">
        <v>42</v>
      </c>
      <c r="J17" s="4" t="s">
        <v>72</v>
      </c>
      <c r="K17" s="4" t="s">
        <v>22</v>
      </c>
    </row>
    <row r="18" customFormat="false" ht="90" hidden="false" customHeight="true" outlineLevel="0" collapsed="false">
      <c r="A18" s="4" t="s">
        <v>73</v>
      </c>
      <c r="B18" s="4" t="s">
        <v>62</v>
      </c>
      <c r="C18" s="4" t="s">
        <v>63</v>
      </c>
      <c r="D18" s="4" t="s">
        <v>64</v>
      </c>
      <c r="E18" s="4" t="s">
        <v>74</v>
      </c>
      <c r="F18" s="5" t="s">
        <v>18</v>
      </c>
      <c r="G18" s="4" t="s">
        <v>19</v>
      </c>
      <c r="H18" s="4" t="n">
        <v>2</v>
      </c>
      <c r="I18" s="4" t="s">
        <v>42</v>
      </c>
      <c r="J18" s="4" t="s">
        <v>75</v>
      </c>
      <c r="K18" s="4" t="s">
        <v>22</v>
      </c>
    </row>
    <row r="19" customFormat="false" ht="103.5" hidden="false" customHeight="true" outlineLevel="0" collapsed="false">
      <c r="A19" s="4" t="s">
        <v>76</v>
      </c>
      <c r="B19" s="4" t="s">
        <v>62</v>
      </c>
      <c r="C19" s="4" t="s">
        <v>63</v>
      </c>
      <c r="D19" s="4" t="s">
        <v>64</v>
      </c>
      <c r="E19" s="4" t="s">
        <v>77</v>
      </c>
      <c r="F19" s="5" t="s">
        <v>18</v>
      </c>
      <c r="G19" s="4" t="s">
        <v>19</v>
      </c>
      <c r="H19" s="4" t="n">
        <v>3</v>
      </c>
      <c r="I19" s="4" t="s">
        <v>52</v>
      </c>
      <c r="J19" s="4" t="s">
        <v>78</v>
      </c>
      <c r="K19" s="4" t="s">
        <v>22</v>
      </c>
    </row>
    <row r="20" customFormat="false" ht="90" hidden="false" customHeight="true" outlineLevel="0" collapsed="false">
      <c r="A20" s="4" t="s">
        <v>79</v>
      </c>
      <c r="B20" s="4" t="s">
        <v>80</v>
      </c>
      <c r="C20" s="4" t="s">
        <v>81</v>
      </c>
      <c r="D20" s="4" t="s">
        <v>82</v>
      </c>
      <c r="E20" s="4" t="s">
        <v>83</v>
      </c>
      <c r="F20" s="5" t="s">
        <v>18</v>
      </c>
      <c r="G20" s="4" t="s">
        <v>19</v>
      </c>
      <c r="H20" s="4" t="n">
        <v>13</v>
      </c>
      <c r="I20" s="4" t="s">
        <v>52</v>
      </c>
      <c r="J20" s="4" t="s">
        <v>84</v>
      </c>
      <c r="K20" s="4" t="s">
        <v>22</v>
      </c>
    </row>
    <row r="21" customFormat="false" ht="90" hidden="false" customHeight="true" outlineLevel="0" collapsed="false">
      <c r="A21" s="4" t="s">
        <v>85</v>
      </c>
      <c r="B21" s="4" t="s">
        <v>80</v>
      </c>
      <c r="C21" s="4" t="s">
        <v>81</v>
      </c>
      <c r="D21" s="4" t="s">
        <v>82</v>
      </c>
      <c r="E21" s="4" t="s">
        <v>86</v>
      </c>
      <c r="F21" s="5" t="s">
        <v>18</v>
      </c>
      <c r="G21" s="4" t="s">
        <v>19</v>
      </c>
      <c r="H21" s="4" t="n">
        <v>8</v>
      </c>
      <c r="I21" s="4" t="s">
        <v>52</v>
      </c>
      <c r="J21" s="4" t="s">
        <v>87</v>
      </c>
      <c r="K21" s="4" t="s">
        <v>22</v>
      </c>
    </row>
    <row r="22" customFormat="false" ht="90" hidden="false" customHeight="true" outlineLevel="0" collapsed="false">
      <c r="A22" s="4" t="s">
        <v>88</v>
      </c>
      <c r="B22" s="4" t="s">
        <v>80</v>
      </c>
      <c r="C22" s="4" t="s">
        <v>81</v>
      </c>
      <c r="D22" s="4" t="s">
        <v>89</v>
      </c>
      <c r="E22" s="4" t="s">
        <v>90</v>
      </c>
      <c r="F22" s="5" t="s">
        <v>18</v>
      </c>
      <c r="G22" s="4" t="s">
        <v>19</v>
      </c>
      <c r="H22" s="4" t="n">
        <v>5</v>
      </c>
      <c r="I22" s="4" t="s">
        <v>52</v>
      </c>
      <c r="J22" s="4" t="s">
        <v>91</v>
      </c>
      <c r="K22" s="4" t="s">
        <v>22</v>
      </c>
    </row>
    <row r="23" customFormat="false" ht="103.5" hidden="false" customHeight="true" outlineLevel="0" collapsed="false">
      <c r="A23" s="4" t="s">
        <v>92</v>
      </c>
      <c r="B23" s="4" t="s">
        <v>14</v>
      </c>
      <c r="C23" s="4" t="s">
        <v>15</v>
      </c>
      <c r="D23" s="4" t="s">
        <v>16</v>
      </c>
      <c r="E23" s="4" t="s">
        <v>93</v>
      </c>
      <c r="F23" s="6" t="s">
        <v>94</v>
      </c>
      <c r="G23" s="4" t="s">
        <v>95</v>
      </c>
      <c r="H23" s="4" t="n">
        <v>3</v>
      </c>
      <c r="I23" s="4" t="s">
        <v>35</v>
      </c>
      <c r="J23" s="4" t="s">
        <v>96</v>
      </c>
      <c r="K23" s="4" t="s">
        <v>22</v>
      </c>
    </row>
    <row r="24" customFormat="false" ht="103.5" hidden="false" customHeight="true" outlineLevel="0" collapsed="false">
      <c r="A24" s="4" t="s">
        <v>97</v>
      </c>
      <c r="B24" s="4" t="s">
        <v>14</v>
      </c>
      <c r="C24" s="4" t="s">
        <v>15</v>
      </c>
      <c r="D24" s="4" t="s">
        <v>30</v>
      </c>
      <c r="E24" s="4" t="s">
        <v>98</v>
      </c>
      <c r="F24" s="6" t="s">
        <v>94</v>
      </c>
      <c r="G24" s="4" t="s">
        <v>95</v>
      </c>
      <c r="H24" s="4" t="n">
        <v>8</v>
      </c>
      <c r="I24" s="4" t="s">
        <v>99</v>
      </c>
      <c r="J24" s="4" t="s">
        <v>100</v>
      </c>
      <c r="K24" s="4" t="s">
        <v>22</v>
      </c>
    </row>
    <row r="25" customFormat="false" ht="103.5" hidden="false" customHeight="true" outlineLevel="0" collapsed="false">
      <c r="A25" s="4" t="s">
        <v>101</v>
      </c>
      <c r="B25" s="4" t="s">
        <v>14</v>
      </c>
      <c r="C25" s="4" t="s">
        <v>15</v>
      </c>
      <c r="D25" s="4" t="s">
        <v>30</v>
      </c>
      <c r="E25" s="4" t="s">
        <v>102</v>
      </c>
      <c r="F25" s="6" t="s">
        <v>94</v>
      </c>
      <c r="G25" s="4" t="s">
        <v>95</v>
      </c>
      <c r="H25" s="4" t="n">
        <v>3</v>
      </c>
      <c r="I25" s="4" t="s">
        <v>103</v>
      </c>
      <c r="J25" s="4" t="s">
        <v>104</v>
      </c>
      <c r="K25" s="4" t="s">
        <v>22</v>
      </c>
    </row>
    <row r="26" customFormat="false" ht="103.5" hidden="false" customHeight="true" outlineLevel="0" collapsed="false">
      <c r="A26" s="4" t="s">
        <v>105</v>
      </c>
      <c r="B26" s="4" t="s">
        <v>14</v>
      </c>
      <c r="C26" s="4" t="s">
        <v>15</v>
      </c>
      <c r="D26" s="4" t="s">
        <v>106</v>
      </c>
      <c r="E26" s="4" t="s">
        <v>107</v>
      </c>
      <c r="F26" s="6" t="s">
        <v>94</v>
      </c>
      <c r="G26" s="4" t="s">
        <v>95</v>
      </c>
      <c r="H26" s="4" t="n">
        <v>5</v>
      </c>
      <c r="I26" s="4" t="s">
        <v>103</v>
      </c>
      <c r="J26" s="4" t="s">
        <v>108</v>
      </c>
      <c r="K26" s="4" t="s">
        <v>22</v>
      </c>
    </row>
    <row r="27" customFormat="false" ht="103.5" hidden="false" customHeight="true" outlineLevel="0" collapsed="false">
      <c r="A27" s="4" t="s">
        <v>109</v>
      </c>
      <c r="B27" s="4" t="s">
        <v>14</v>
      </c>
      <c r="C27" s="4" t="s">
        <v>15</v>
      </c>
      <c r="D27" s="4" t="s">
        <v>106</v>
      </c>
      <c r="E27" s="4" t="s">
        <v>110</v>
      </c>
      <c r="F27" s="6" t="s">
        <v>94</v>
      </c>
      <c r="G27" s="4" t="s">
        <v>95</v>
      </c>
      <c r="H27" s="4" t="n">
        <v>5</v>
      </c>
      <c r="I27" s="4" t="s">
        <v>99</v>
      </c>
      <c r="J27" s="4" t="s">
        <v>111</v>
      </c>
      <c r="K27" s="4" t="s">
        <v>22</v>
      </c>
    </row>
    <row r="28" customFormat="false" ht="90" hidden="false" customHeight="true" outlineLevel="0" collapsed="false">
      <c r="A28" s="4" t="s">
        <v>112</v>
      </c>
      <c r="B28" s="4" t="s">
        <v>38</v>
      </c>
      <c r="C28" s="4" t="s">
        <v>39</v>
      </c>
      <c r="D28" s="4" t="s">
        <v>40</v>
      </c>
      <c r="E28" s="4" t="s">
        <v>113</v>
      </c>
      <c r="F28" s="6" t="s">
        <v>94</v>
      </c>
      <c r="G28" s="4" t="s">
        <v>95</v>
      </c>
      <c r="H28" s="4" t="n">
        <v>3</v>
      </c>
      <c r="I28" s="4" t="s">
        <v>99</v>
      </c>
      <c r="J28" s="4" t="s">
        <v>114</v>
      </c>
      <c r="K28" s="4" t="s">
        <v>22</v>
      </c>
    </row>
    <row r="29" customFormat="false" ht="90" hidden="false" customHeight="true" outlineLevel="0" collapsed="false">
      <c r="A29" s="4" t="s">
        <v>115</v>
      </c>
      <c r="B29" s="4" t="s">
        <v>48</v>
      </c>
      <c r="C29" s="4" t="s">
        <v>49</v>
      </c>
      <c r="D29" s="4" t="s">
        <v>50</v>
      </c>
      <c r="E29" s="4" t="s">
        <v>116</v>
      </c>
      <c r="F29" s="6" t="s">
        <v>94</v>
      </c>
      <c r="G29" s="4" t="s">
        <v>95</v>
      </c>
      <c r="H29" s="4" t="n">
        <v>5</v>
      </c>
      <c r="I29" s="4" t="s">
        <v>103</v>
      </c>
      <c r="J29" s="4" t="s">
        <v>117</v>
      </c>
      <c r="K29" s="4" t="s">
        <v>22</v>
      </c>
    </row>
    <row r="30" customFormat="false" ht="90" hidden="false" customHeight="true" outlineLevel="0" collapsed="false">
      <c r="A30" s="4" t="s">
        <v>118</v>
      </c>
      <c r="B30" s="4" t="s">
        <v>48</v>
      </c>
      <c r="C30" s="4" t="s">
        <v>49</v>
      </c>
      <c r="D30" s="4" t="s">
        <v>50</v>
      </c>
      <c r="E30" s="4" t="s">
        <v>119</v>
      </c>
      <c r="F30" s="6" t="s">
        <v>94</v>
      </c>
      <c r="G30" s="4" t="s">
        <v>95</v>
      </c>
      <c r="H30" s="4" t="n">
        <v>8</v>
      </c>
      <c r="I30" s="4" t="s">
        <v>120</v>
      </c>
      <c r="J30" s="4" t="s">
        <v>121</v>
      </c>
      <c r="K30" s="4" t="s">
        <v>22</v>
      </c>
    </row>
    <row r="31" customFormat="false" ht="90" hidden="false" customHeight="true" outlineLevel="0" collapsed="false">
      <c r="A31" s="4" t="s">
        <v>122</v>
      </c>
      <c r="B31" s="4" t="s">
        <v>48</v>
      </c>
      <c r="C31" s="4" t="s">
        <v>49</v>
      </c>
      <c r="D31" s="4" t="s">
        <v>55</v>
      </c>
      <c r="E31" s="4" t="s">
        <v>123</v>
      </c>
      <c r="F31" s="6" t="s">
        <v>94</v>
      </c>
      <c r="G31" s="4" t="s">
        <v>95</v>
      </c>
      <c r="H31" s="4" t="n">
        <v>3</v>
      </c>
      <c r="I31" s="4" t="s">
        <v>103</v>
      </c>
      <c r="J31" s="4" t="s">
        <v>124</v>
      </c>
      <c r="K31" s="4" t="s">
        <v>22</v>
      </c>
    </row>
    <row r="32" customFormat="false" ht="90" hidden="false" customHeight="true" outlineLevel="0" collapsed="false">
      <c r="A32" s="4" t="s">
        <v>125</v>
      </c>
      <c r="B32" s="4" t="s">
        <v>62</v>
      </c>
      <c r="C32" s="4" t="s">
        <v>63</v>
      </c>
      <c r="D32" s="4" t="s">
        <v>64</v>
      </c>
      <c r="E32" s="4" t="s">
        <v>126</v>
      </c>
      <c r="F32" s="6" t="s">
        <v>94</v>
      </c>
      <c r="G32" s="4" t="s">
        <v>95</v>
      </c>
      <c r="H32" s="4" t="n">
        <v>2</v>
      </c>
      <c r="I32" s="4" t="s">
        <v>20</v>
      </c>
      <c r="J32" s="4" t="s">
        <v>127</v>
      </c>
      <c r="K32" s="4" t="s">
        <v>22</v>
      </c>
    </row>
    <row r="33" customFormat="false" ht="90" hidden="false" customHeight="true" outlineLevel="0" collapsed="false">
      <c r="A33" s="4" t="s">
        <v>128</v>
      </c>
      <c r="B33" s="4" t="s">
        <v>62</v>
      </c>
      <c r="C33" s="4" t="s">
        <v>63</v>
      </c>
      <c r="D33" s="4" t="s">
        <v>129</v>
      </c>
      <c r="E33" s="4" t="s">
        <v>130</v>
      </c>
      <c r="F33" s="6" t="s">
        <v>94</v>
      </c>
      <c r="G33" s="4" t="s">
        <v>95</v>
      </c>
      <c r="H33" s="4" t="n">
        <v>5</v>
      </c>
      <c r="I33" s="4" t="s">
        <v>35</v>
      </c>
      <c r="J33" s="4" t="s">
        <v>131</v>
      </c>
      <c r="K33" s="4" t="s">
        <v>22</v>
      </c>
    </row>
    <row r="34" customFormat="false" ht="103.5" hidden="false" customHeight="true" outlineLevel="0" collapsed="false">
      <c r="A34" s="4" t="s">
        <v>132</v>
      </c>
      <c r="B34" s="4" t="s">
        <v>62</v>
      </c>
      <c r="C34" s="4" t="s">
        <v>63</v>
      </c>
      <c r="D34" s="4" t="s">
        <v>129</v>
      </c>
      <c r="E34" s="4" t="s">
        <v>133</v>
      </c>
      <c r="F34" s="6" t="s">
        <v>94</v>
      </c>
      <c r="G34" s="4" t="s">
        <v>95</v>
      </c>
      <c r="H34" s="4" t="n">
        <v>3</v>
      </c>
      <c r="I34" s="4" t="s">
        <v>35</v>
      </c>
      <c r="J34" s="4" t="s">
        <v>134</v>
      </c>
      <c r="K34" s="4" t="s">
        <v>22</v>
      </c>
    </row>
    <row r="35" customFormat="false" ht="90" hidden="false" customHeight="true" outlineLevel="0" collapsed="false">
      <c r="A35" s="4" t="s">
        <v>135</v>
      </c>
      <c r="B35" s="4" t="s">
        <v>62</v>
      </c>
      <c r="C35" s="4" t="s">
        <v>63</v>
      </c>
      <c r="D35" s="4" t="s">
        <v>129</v>
      </c>
      <c r="E35" s="4" t="s">
        <v>136</v>
      </c>
      <c r="F35" s="6" t="s">
        <v>94</v>
      </c>
      <c r="G35" s="4" t="s">
        <v>95</v>
      </c>
      <c r="H35" s="4" t="n">
        <v>3</v>
      </c>
      <c r="I35" s="4" t="s">
        <v>35</v>
      </c>
      <c r="J35" s="4" t="s">
        <v>137</v>
      </c>
      <c r="K35" s="4" t="s">
        <v>22</v>
      </c>
    </row>
    <row r="36" customFormat="false" ht="90" hidden="false" customHeight="true" outlineLevel="0" collapsed="false">
      <c r="A36" s="4" t="s">
        <v>138</v>
      </c>
      <c r="B36" s="4" t="s">
        <v>62</v>
      </c>
      <c r="C36" s="4" t="s">
        <v>63</v>
      </c>
      <c r="D36" s="4" t="s">
        <v>129</v>
      </c>
      <c r="E36" s="4" t="s">
        <v>139</v>
      </c>
      <c r="F36" s="6" t="s">
        <v>94</v>
      </c>
      <c r="G36" s="4" t="s">
        <v>95</v>
      </c>
      <c r="H36" s="4" t="n">
        <v>5</v>
      </c>
      <c r="I36" s="4" t="s">
        <v>103</v>
      </c>
      <c r="J36" s="4" t="s">
        <v>140</v>
      </c>
      <c r="K36" s="4" t="s">
        <v>22</v>
      </c>
    </row>
    <row r="37" customFormat="false" ht="90" hidden="false" customHeight="true" outlineLevel="0" collapsed="false">
      <c r="A37" s="4" t="s">
        <v>141</v>
      </c>
      <c r="B37" s="4" t="s">
        <v>80</v>
      </c>
      <c r="C37" s="4" t="s">
        <v>81</v>
      </c>
      <c r="D37" s="4" t="s">
        <v>82</v>
      </c>
      <c r="E37" s="4" t="s">
        <v>142</v>
      </c>
      <c r="F37" s="6" t="s">
        <v>94</v>
      </c>
      <c r="G37" s="4" t="s">
        <v>95</v>
      </c>
      <c r="H37" s="4" t="n">
        <v>5</v>
      </c>
      <c r="I37" s="4" t="s">
        <v>103</v>
      </c>
      <c r="J37" s="4" t="s">
        <v>143</v>
      </c>
      <c r="K37" s="4" t="s">
        <v>22</v>
      </c>
    </row>
    <row r="38" customFormat="false" ht="90" hidden="false" customHeight="true" outlineLevel="0" collapsed="false">
      <c r="A38" s="4" t="s">
        <v>144</v>
      </c>
      <c r="B38" s="4" t="s">
        <v>80</v>
      </c>
      <c r="C38" s="4" t="s">
        <v>81</v>
      </c>
      <c r="D38" s="4" t="s">
        <v>82</v>
      </c>
      <c r="E38" s="4" t="s">
        <v>145</v>
      </c>
      <c r="F38" s="6" t="s">
        <v>94</v>
      </c>
      <c r="G38" s="4" t="s">
        <v>95</v>
      </c>
      <c r="H38" s="4" t="n">
        <v>3</v>
      </c>
      <c r="I38" s="4" t="s">
        <v>20</v>
      </c>
      <c r="J38" s="4" t="s">
        <v>146</v>
      </c>
      <c r="K38" s="4" t="s">
        <v>22</v>
      </c>
    </row>
    <row r="39" customFormat="false" ht="90" hidden="false" customHeight="true" outlineLevel="0" collapsed="false">
      <c r="A39" s="4" t="s">
        <v>147</v>
      </c>
      <c r="B39" s="4" t="s">
        <v>80</v>
      </c>
      <c r="C39" s="4" t="s">
        <v>81</v>
      </c>
      <c r="D39" s="4" t="s">
        <v>82</v>
      </c>
      <c r="E39" s="4" t="s">
        <v>148</v>
      </c>
      <c r="F39" s="6" t="s">
        <v>94</v>
      </c>
      <c r="G39" s="4" t="s">
        <v>95</v>
      </c>
      <c r="H39" s="4" t="n">
        <v>5</v>
      </c>
      <c r="I39" s="4" t="s">
        <v>99</v>
      </c>
      <c r="J39" s="4" t="s">
        <v>149</v>
      </c>
      <c r="K39" s="4" t="s">
        <v>22</v>
      </c>
    </row>
    <row r="40" customFormat="false" ht="90" hidden="false" customHeight="true" outlineLevel="0" collapsed="false">
      <c r="A40" s="4" t="s">
        <v>150</v>
      </c>
      <c r="B40" s="4" t="s">
        <v>80</v>
      </c>
      <c r="C40" s="4" t="s">
        <v>81</v>
      </c>
      <c r="D40" s="4" t="s">
        <v>89</v>
      </c>
      <c r="E40" s="4" t="s">
        <v>151</v>
      </c>
      <c r="F40" s="6" t="s">
        <v>94</v>
      </c>
      <c r="G40" s="4" t="s">
        <v>95</v>
      </c>
      <c r="H40" s="4" t="n">
        <v>5</v>
      </c>
      <c r="I40" s="4" t="s">
        <v>99</v>
      </c>
      <c r="J40" s="4" t="s">
        <v>152</v>
      </c>
      <c r="K40" s="4" t="s">
        <v>22</v>
      </c>
    </row>
    <row r="41" customFormat="false" ht="90" hidden="false" customHeight="true" outlineLevel="0" collapsed="false">
      <c r="A41" s="4" t="s">
        <v>153</v>
      </c>
      <c r="B41" s="4" t="s">
        <v>80</v>
      </c>
      <c r="C41" s="4" t="s">
        <v>81</v>
      </c>
      <c r="D41" s="4" t="s">
        <v>89</v>
      </c>
      <c r="E41" s="4" t="s">
        <v>154</v>
      </c>
      <c r="F41" s="6" t="s">
        <v>94</v>
      </c>
      <c r="G41" s="4" t="s">
        <v>95</v>
      </c>
      <c r="H41" s="4" t="n">
        <v>8</v>
      </c>
      <c r="I41" s="4" t="s">
        <v>103</v>
      </c>
      <c r="J41" s="4" t="s">
        <v>155</v>
      </c>
      <c r="K41" s="4" t="s">
        <v>22</v>
      </c>
    </row>
    <row r="42" customFormat="false" ht="90" hidden="false" customHeight="true" outlineLevel="0" collapsed="false">
      <c r="A42" s="4" t="s">
        <v>156</v>
      </c>
      <c r="B42" s="4" t="s">
        <v>80</v>
      </c>
      <c r="C42" s="4" t="s">
        <v>81</v>
      </c>
      <c r="D42" s="4" t="s">
        <v>157</v>
      </c>
      <c r="E42" s="4" t="s">
        <v>158</v>
      </c>
      <c r="F42" s="6" t="s">
        <v>94</v>
      </c>
      <c r="G42" s="4" t="s">
        <v>95</v>
      </c>
      <c r="H42" s="4" t="n">
        <v>8</v>
      </c>
      <c r="I42" s="4" t="s">
        <v>99</v>
      </c>
      <c r="J42" s="4" t="s">
        <v>159</v>
      </c>
      <c r="K42" s="4" t="s">
        <v>22</v>
      </c>
    </row>
    <row r="43" customFormat="false" ht="103.5" hidden="false" customHeight="true" outlineLevel="0" collapsed="false">
      <c r="A43" s="4" t="s">
        <v>160</v>
      </c>
      <c r="B43" s="4" t="s">
        <v>80</v>
      </c>
      <c r="C43" s="4" t="s">
        <v>81</v>
      </c>
      <c r="D43" s="4" t="s">
        <v>157</v>
      </c>
      <c r="E43" s="4" t="s">
        <v>161</v>
      </c>
      <c r="F43" s="6" t="s">
        <v>94</v>
      </c>
      <c r="G43" s="4" t="s">
        <v>95</v>
      </c>
      <c r="H43" s="4" t="n">
        <v>5</v>
      </c>
      <c r="I43" s="4" t="s">
        <v>120</v>
      </c>
      <c r="J43" s="4" t="s">
        <v>162</v>
      </c>
      <c r="K43" s="4" t="s">
        <v>22</v>
      </c>
    </row>
    <row r="44" customFormat="false" ht="90" hidden="false" customHeight="true" outlineLevel="0" collapsed="false">
      <c r="A44" s="4" t="s">
        <v>163</v>
      </c>
      <c r="B44" s="4" t="s">
        <v>80</v>
      </c>
      <c r="C44" s="4" t="s">
        <v>81</v>
      </c>
      <c r="D44" s="4" t="s">
        <v>164</v>
      </c>
      <c r="E44" s="4" t="s">
        <v>165</v>
      </c>
      <c r="F44" s="6" t="s">
        <v>94</v>
      </c>
      <c r="G44" s="4" t="s">
        <v>95</v>
      </c>
      <c r="H44" s="4" t="n">
        <v>3</v>
      </c>
      <c r="I44" s="4" t="s">
        <v>103</v>
      </c>
      <c r="J44" s="4" t="s">
        <v>166</v>
      </c>
      <c r="K44" s="4" t="s">
        <v>22</v>
      </c>
    </row>
    <row r="45" customFormat="false" ht="90" hidden="false" customHeight="true" outlineLevel="0" collapsed="false">
      <c r="A45" s="4" t="s">
        <v>167</v>
      </c>
      <c r="B45" s="4" t="s">
        <v>80</v>
      </c>
      <c r="C45" s="4" t="s">
        <v>81</v>
      </c>
      <c r="D45" s="4" t="s">
        <v>164</v>
      </c>
      <c r="E45" s="4" t="s">
        <v>168</v>
      </c>
      <c r="F45" s="6" t="s">
        <v>94</v>
      </c>
      <c r="G45" s="4" t="s">
        <v>95</v>
      </c>
      <c r="H45" s="4" t="n">
        <v>2</v>
      </c>
      <c r="I45" s="4" t="s">
        <v>103</v>
      </c>
      <c r="J45" s="4" t="s">
        <v>169</v>
      </c>
      <c r="K45" s="4" t="s">
        <v>22</v>
      </c>
    </row>
    <row r="46" customFormat="false" ht="103.5" hidden="false" customHeight="true" outlineLevel="0" collapsed="false">
      <c r="A46" s="4" t="s">
        <v>170</v>
      </c>
      <c r="B46" s="4" t="s">
        <v>14</v>
      </c>
      <c r="C46" s="4" t="s">
        <v>15</v>
      </c>
      <c r="D46" s="4" t="s">
        <v>16</v>
      </c>
      <c r="E46" s="4" t="s">
        <v>171</v>
      </c>
      <c r="F46" s="7" t="s">
        <v>172</v>
      </c>
      <c r="G46" s="4" t="s">
        <v>173</v>
      </c>
      <c r="H46" s="4" t="n">
        <v>5</v>
      </c>
      <c r="I46" s="4" t="s">
        <v>174</v>
      </c>
      <c r="J46" s="4" t="s">
        <v>175</v>
      </c>
      <c r="K46" s="4" t="s">
        <v>22</v>
      </c>
    </row>
    <row r="47" customFormat="false" ht="103.5" hidden="false" customHeight="true" outlineLevel="0" collapsed="false">
      <c r="A47" s="4" t="s">
        <v>176</v>
      </c>
      <c r="B47" s="4" t="s">
        <v>14</v>
      </c>
      <c r="C47" s="4" t="s">
        <v>15</v>
      </c>
      <c r="D47" s="4" t="s">
        <v>106</v>
      </c>
      <c r="E47" s="4" t="s">
        <v>177</v>
      </c>
      <c r="F47" s="7" t="s">
        <v>172</v>
      </c>
      <c r="G47" s="4" t="s">
        <v>173</v>
      </c>
      <c r="H47" s="4" t="n">
        <v>8</v>
      </c>
      <c r="I47" s="4" t="s">
        <v>174</v>
      </c>
      <c r="J47" s="4" t="s">
        <v>178</v>
      </c>
      <c r="K47" s="4" t="s">
        <v>22</v>
      </c>
    </row>
    <row r="48" customFormat="false" ht="103.5" hidden="false" customHeight="true" outlineLevel="0" collapsed="false">
      <c r="A48" s="4" t="s">
        <v>179</v>
      </c>
      <c r="B48" s="4" t="s">
        <v>14</v>
      </c>
      <c r="C48" s="4" t="s">
        <v>15</v>
      </c>
      <c r="D48" s="4" t="s">
        <v>180</v>
      </c>
      <c r="E48" s="4" t="s">
        <v>181</v>
      </c>
      <c r="F48" s="7" t="s">
        <v>172</v>
      </c>
      <c r="G48" s="4" t="s">
        <v>182</v>
      </c>
      <c r="H48" s="4" t="n">
        <v>13</v>
      </c>
      <c r="I48" s="4" t="s">
        <v>174</v>
      </c>
      <c r="J48" s="4" t="s">
        <v>183</v>
      </c>
      <c r="K48" s="4" t="s">
        <v>22</v>
      </c>
    </row>
    <row r="49" customFormat="false" ht="103.5" hidden="false" customHeight="true" outlineLevel="0" collapsed="false">
      <c r="A49" s="4" t="s">
        <v>184</v>
      </c>
      <c r="B49" s="4" t="s">
        <v>14</v>
      </c>
      <c r="C49" s="4" t="s">
        <v>15</v>
      </c>
      <c r="D49" s="4" t="s">
        <v>180</v>
      </c>
      <c r="E49" s="4" t="s">
        <v>185</v>
      </c>
      <c r="F49" s="7" t="s">
        <v>172</v>
      </c>
      <c r="G49" s="4" t="s">
        <v>182</v>
      </c>
      <c r="H49" s="4" t="n">
        <v>13</v>
      </c>
      <c r="I49" s="4" t="s">
        <v>174</v>
      </c>
      <c r="J49" s="4" t="s">
        <v>186</v>
      </c>
      <c r="K49" s="4" t="s">
        <v>22</v>
      </c>
    </row>
    <row r="50" customFormat="false" ht="103.5" hidden="false" customHeight="true" outlineLevel="0" collapsed="false">
      <c r="A50" s="4" t="s">
        <v>187</v>
      </c>
      <c r="B50" s="4" t="s">
        <v>14</v>
      </c>
      <c r="C50" s="4" t="s">
        <v>15</v>
      </c>
      <c r="D50" s="4" t="s">
        <v>188</v>
      </c>
      <c r="E50" s="4" t="s">
        <v>189</v>
      </c>
      <c r="F50" s="7" t="s">
        <v>172</v>
      </c>
      <c r="G50" s="4" t="s">
        <v>182</v>
      </c>
      <c r="H50" s="4" t="n">
        <v>13</v>
      </c>
      <c r="I50" s="4" t="s">
        <v>174</v>
      </c>
      <c r="J50" s="4" t="s">
        <v>190</v>
      </c>
      <c r="K50" s="4" t="s">
        <v>22</v>
      </c>
    </row>
    <row r="51" customFormat="false" ht="103.5" hidden="false" customHeight="true" outlineLevel="0" collapsed="false">
      <c r="A51" s="4" t="s">
        <v>191</v>
      </c>
      <c r="B51" s="4" t="s">
        <v>14</v>
      </c>
      <c r="C51" s="4" t="s">
        <v>15</v>
      </c>
      <c r="D51" s="4" t="s">
        <v>188</v>
      </c>
      <c r="E51" s="4" t="s">
        <v>192</v>
      </c>
      <c r="F51" s="7" t="s">
        <v>172</v>
      </c>
      <c r="G51" s="4" t="s">
        <v>182</v>
      </c>
      <c r="H51" s="4" t="n">
        <v>13</v>
      </c>
      <c r="I51" s="4" t="s">
        <v>174</v>
      </c>
      <c r="J51" s="4" t="s">
        <v>193</v>
      </c>
      <c r="K51" s="4" t="s">
        <v>22</v>
      </c>
    </row>
    <row r="52" customFormat="false" ht="90" hidden="false" customHeight="true" outlineLevel="0" collapsed="false">
      <c r="A52" s="4" t="s">
        <v>194</v>
      </c>
      <c r="B52" s="4" t="s">
        <v>38</v>
      </c>
      <c r="C52" s="4" t="s">
        <v>39</v>
      </c>
      <c r="D52" s="4" t="s">
        <v>195</v>
      </c>
      <c r="E52" s="4" t="s">
        <v>196</v>
      </c>
      <c r="F52" s="7" t="s">
        <v>172</v>
      </c>
      <c r="G52" s="4" t="s">
        <v>173</v>
      </c>
      <c r="H52" s="4" t="n">
        <v>8</v>
      </c>
      <c r="I52" s="4" t="s">
        <v>174</v>
      </c>
      <c r="J52" s="4" t="s">
        <v>197</v>
      </c>
      <c r="K52" s="4" t="s">
        <v>22</v>
      </c>
    </row>
    <row r="53" customFormat="false" ht="90" hidden="false" customHeight="true" outlineLevel="0" collapsed="false">
      <c r="A53" s="4" t="s">
        <v>198</v>
      </c>
      <c r="B53" s="4" t="s">
        <v>38</v>
      </c>
      <c r="C53" s="4" t="s">
        <v>39</v>
      </c>
      <c r="D53" s="4" t="s">
        <v>195</v>
      </c>
      <c r="E53" s="4" t="s">
        <v>199</v>
      </c>
      <c r="F53" s="7" t="s">
        <v>172</v>
      </c>
      <c r="G53" s="4" t="s">
        <v>173</v>
      </c>
      <c r="H53" s="4" t="n">
        <v>5</v>
      </c>
      <c r="I53" s="4" t="s">
        <v>174</v>
      </c>
      <c r="J53" s="4" t="s">
        <v>200</v>
      </c>
      <c r="K53" s="4" t="s">
        <v>22</v>
      </c>
    </row>
    <row r="54" customFormat="false" ht="90" hidden="false" customHeight="true" outlineLevel="0" collapsed="false">
      <c r="A54" s="4" t="s">
        <v>201</v>
      </c>
      <c r="B54" s="4" t="s">
        <v>38</v>
      </c>
      <c r="C54" s="4" t="s">
        <v>39</v>
      </c>
      <c r="D54" s="4" t="s">
        <v>195</v>
      </c>
      <c r="E54" s="4" t="s">
        <v>202</v>
      </c>
      <c r="F54" s="7" t="s">
        <v>172</v>
      </c>
      <c r="G54" s="4" t="s">
        <v>95</v>
      </c>
      <c r="H54" s="4" t="n">
        <v>8</v>
      </c>
      <c r="I54" s="4" t="s">
        <v>174</v>
      </c>
      <c r="J54" s="4" t="s">
        <v>203</v>
      </c>
      <c r="K54" s="4" t="s">
        <v>22</v>
      </c>
    </row>
    <row r="55" customFormat="false" ht="90" hidden="false" customHeight="true" outlineLevel="0" collapsed="false">
      <c r="A55" s="4" t="s">
        <v>204</v>
      </c>
      <c r="B55" s="4" t="s">
        <v>62</v>
      </c>
      <c r="C55" s="4" t="s">
        <v>63</v>
      </c>
      <c r="D55" s="4" t="s">
        <v>129</v>
      </c>
      <c r="E55" s="4" t="s">
        <v>205</v>
      </c>
      <c r="F55" s="7" t="s">
        <v>172</v>
      </c>
      <c r="G55" s="4" t="s">
        <v>173</v>
      </c>
      <c r="H55" s="4" t="n">
        <v>5</v>
      </c>
      <c r="I55" s="4" t="s">
        <v>174</v>
      </c>
      <c r="J55" s="4" t="s">
        <v>206</v>
      </c>
      <c r="K55" s="4" t="s">
        <v>22</v>
      </c>
    </row>
    <row r="56" customFormat="false" ht="90" hidden="false" customHeight="true" outlineLevel="0" collapsed="false">
      <c r="A56" s="4" t="s">
        <v>207</v>
      </c>
      <c r="B56" s="4" t="s">
        <v>62</v>
      </c>
      <c r="C56" s="4" t="s">
        <v>63</v>
      </c>
      <c r="D56" s="4" t="s">
        <v>129</v>
      </c>
      <c r="E56" s="4" t="s">
        <v>208</v>
      </c>
      <c r="F56" s="7" t="s">
        <v>172</v>
      </c>
      <c r="G56" s="4" t="s">
        <v>173</v>
      </c>
      <c r="H56" s="4" t="n">
        <v>2</v>
      </c>
      <c r="I56" s="4" t="s">
        <v>174</v>
      </c>
      <c r="J56" s="4" t="s">
        <v>209</v>
      </c>
      <c r="K56" s="4" t="s">
        <v>22</v>
      </c>
    </row>
    <row r="57" customFormat="false" ht="90" hidden="false" customHeight="true" outlineLevel="0" collapsed="false">
      <c r="A57" s="4" t="s">
        <v>210</v>
      </c>
      <c r="B57" s="4" t="s">
        <v>80</v>
      </c>
      <c r="C57" s="4" t="s">
        <v>81</v>
      </c>
      <c r="D57" s="4" t="s">
        <v>89</v>
      </c>
      <c r="E57" s="4" t="s">
        <v>211</v>
      </c>
      <c r="F57" s="7" t="s">
        <v>172</v>
      </c>
      <c r="G57" s="4" t="s">
        <v>173</v>
      </c>
      <c r="H57" s="4" t="n">
        <v>5</v>
      </c>
      <c r="I57" s="4" t="s">
        <v>174</v>
      </c>
      <c r="J57" s="4" t="s">
        <v>212</v>
      </c>
      <c r="K57" s="4" t="s">
        <v>22</v>
      </c>
    </row>
    <row r="58" customFormat="false" ht="90" hidden="false" customHeight="true" outlineLevel="0" collapsed="false">
      <c r="A58" s="4" t="s">
        <v>213</v>
      </c>
      <c r="B58" s="4" t="s">
        <v>80</v>
      </c>
      <c r="C58" s="4" t="s">
        <v>81</v>
      </c>
      <c r="D58" s="4" t="s">
        <v>157</v>
      </c>
      <c r="E58" s="4" t="s">
        <v>214</v>
      </c>
      <c r="F58" s="7" t="s">
        <v>172</v>
      </c>
      <c r="G58" s="4" t="s">
        <v>173</v>
      </c>
      <c r="H58" s="4" t="n">
        <v>3</v>
      </c>
      <c r="I58" s="4" t="s">
        <v>174</v>
      </c>
      <c r="J58" s="4" t="s">
        <v>215</v>
      </c>
      <c r="K58" s="4" t="s">
        <v>22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3"/>
    <col collapsed="false" customWidth="true" hidden="false" outlineLevel="0" max="4" min="4" style="0" width="10"/>
  </cols>
  <sheetData>
    <row r="1" customFormat="false" ht="25.5" hidden="false" customHeight="true" outlineLevel="0" collapsed="false">
      <c r="A1" s="8" t="s">
        <v>216</v>
      </c>
      <c r="B1" s="8"/>
      <c r="C1" s="8"/>
      <c r="D1" s="8"/>
    </row>
    <row r="3" customFormat="false" ht="15" hidden="false" customHeight="false" outlineLevel="0" collapsed="false">
      <c r="A3" s="9" t="s">
        <v>217</v>
      </c>
    </row>
    <row r="4" customFormat="false" ht="15" hidden="false" customHeight="false" outlineLevel="0" collapsed="false">
      <c r="A4" s="10" t="s">
        <v>7</v>
      </c>
      <c r="B4" s="10" t="s">
        <v>218</v>
      </c>
      <c r="C4" s="10" t="s">
        <v>219</v>
      </c>
    </row>
    <row r="5" customFormat="false" ht="15" hidden="false" customHeight="false" outlineLevel="0" collapsed="false">
      <c r="A5" s="11" t="s">
        <v>18</v>
      </c>
      <c r="B5" s="12" t="n">
        <f aca="false">COUNTIF(Backlog!F:F,A5)</f>
        <v>18</v>
      </c>
      <c r="C5" s="12" t="n">
        <f aca="false">SUMIF(Backlog!F:F,A5,Backlog!H:H)</f>
        <v>99</v>
      </c>
    </row>
    <row r="6" customFormat="false" ht="15" hidden="false" customHeight="false" outlineLevel="0" collapsed="false">
      <c r="A6" s="13" t="s">
        <v>94</v>
      </c>
      <c r="B6" s="12" t="n">
        <f aca="false">COUNTIF(Backlog!F:F,A6)</f>
        <v>23</v>
      </c>
      <c r="C6" s="12" t="n">
        <f aca="false">SUMIF(Backlog!F:F,A6,Backlog!H:H)</f>
        <v>105</v>
      </c>
    </row>
    <row r="7" customFormat="false" ht="15" hidden="false" customHeight="false" outlineLevel="0" collapsed="false">
      <c r="A7" s="14" t="s">
        <v>172</v>
      </c>
      <c r="B7" s="12" t="n">
        <f aca="false">COUNTIF(Backlog!F:F,A7)</f>
        <v>13</v>
      </c>
      <c r="C7" s="12" t="n">
        <f aca="false">SUMIF(Backlog!F:F,A7,Backlog!H:H)</f>
        <v>101</v>
      </c>
    </row>
    <row r="8" customFormat="false" ht="15" hidden="false" customHeight="false" outlineLevel="0" collapsed="false">
      <c r="A8" s="9" t="s">
        <v>220</v>
      </c>
      <c r="B8" s="9" t="n">
        <f aca="false">SUM(B5:B7)</f>
        <v>54</v>
      </c>
      <c r="C8" s="9" t="n">
        <f aca="false">SUM(C5:C7)</f>
        <v>305</v>
      </c>
    </row>
    <row r="11" customFormat="false" ht="15" hidden="false" customHeight="false" outlineLevel="0" collapsed="false">
      <c r="A11" s="9" t="s">
        <v>221</v>
      </c>
    </row>
    <row r="12" customFormat="false" ht="15" hidden="false" customHeight="false" outlineLevel="0" collapsed="false">
      <c r="A12" s="10" t="s">
        <v>3</v>
      </c>
      <c r="B12" s="10" t="s">
        <v>218</v>
      </c>
      <c r="C12" s="10" t="s">
        <v>219</v>
      </c>
    </row>
    <row r="13" customFormat="false" ht="15" hidden="false" customHeight="false" outlineLevel="0" collapsed="false">
      <c r="A13" s="15" t="s">
        <v>14</v>
      </c>
      <c r="B13" s="12" t="n">
        <f aca="false">COUNTIF(Backlog!B:B,A13)</f>
        <v>16</v>
      </c>
      <c r="C13" s="12" t="n">
        <f aca="false">SUMIF(Backlog!B:B,A13,Backlog!H:H)</f>
        <v>117</v>
      </c>
    </row>
    <row r="14" customFormat="false" ht="15" hidden="false" customHeight="false" outlineLevel="0" collapsed="false">
      <c r="A14" s="15" t="s">
        <v>38</v>
      </c>
      <c r="B14" s="12" t="n">
        <f aca="false">COUNTIF(Backlog!B:B,A14)</f>
        <v>6</v>
      </c>
      <c r="C14" s="12" t="n">
        <f aca="false">SUMIF(Backlog!B:B,A14,Backlog!H:H)</f>
        <v>37</v>
      </c>
    </row>
    <row r="15" customFormat="false" ht="15" hidden="false" customHeight="false" outlineLevel="0" collapsed="false">
      <c r="A15" s="15" t="s">
        <v>48</v>
      </c>
      <c r="B15" s="12" t="n">
        <f aca="false">COUNTIF(Backlog!B:B,A15)</f>
        <v>6</v>
      </c>
      <c r="C15" s="12" t="n">
        <f aca="false">SUMIF(Backlog!B:B,A15,Backlog!H:H)</f>
        <v>32</v>
      </c>
    </row>
    <row r="16" customFormat="false" ht="15" hidden="false" customHeight="false" outlineLevel="0" collapsed="false">
      <c r="A16" s="15" t="s">
        <v>62</v>
      </c>
      <c r="B16" s="12" t="n">
        <f aca="false">COUNTIF(Backlog!B:B,A16)</f>
        <v>12</v>
      </c>
      <c r="C16" s="12" t="n">
        <f aca="false">SUMIF(Backlog!B:B,A16,Backlog!H:H)</f>
        <v>41</v>
      </c>
    </row>
    <row r="17" customFormat="false" ht="15" hidden="false" customHeight="false" outlineLevel="0" collapsed="false">
      <c r="A17" s="15" t="s">
        <v>80</v>
      </c>
      <c r="B17" s="12" t="n">
        <f aca="false">COUNTIF(Backlog!B:B,A17)</f>
        <v>14</v>
      </c>
      <c r="C17" s="12" t="n">
        <f aca="false">SUMIF(Backlog!B:B,A17,Backlog!H:H)</f>
        <v>78</v>
      </c>
    </row>
    <row r="20" customFormat="false" ht="15" hidden="false" customHeight="false" outlineLevel="0" collapsed="false">
      <c r="A20" s="9" t="s">
        <v>222</v>
      </c>
    </row>
    <row r="21" customFormat="false" ht="15" hidden="false" customHeight="false" outlineLevel="0" collapsed="false">
      <c r="A21" s="10" t="s">
        <v>223</v>
      </c>
      <c r="B21" s="10" t="s">
        <v>218</v>
      </c>
      <c r="C21" s="10" t="s">
        <v>219</v>
      </c>
    </row>
    <row r="22" customFormat="false" ht="15" hidden="false" customHeight="false" outlineLevel="0" collapsed="false">
      <c r="A22" s="15" t="s">
        <v>42</v>
      </c>
      <c r="B22" s="12" t="n">
        <f aca="false">COUNTIF(Backlog!I:I,A22)</f>
        <v>5</v>
      </c>
      <c r="C22" s="12" t="n">
        <f aca="false">SUMIF(Backlog!I:I,A22,Backlog!H:H)</f>
        <v>21</v>
      </c>
    </row>
    <row r="23" customFormat="false" ht="15" hidden="false" customHeight="false" outlineLevel="0" collapsed="false">
      <c r="A23" s="15" t="s">
        <v>52</v>
      </c>
      <c r="B23" s="12" t="n">
        <f aca="false">COUNTIF(Backlog!I:I,A23)</f>
        <v>5</v>
      </c>
      <c r="C23" s="12" t="n">
        <f aca="false">SUMIF(Backlog!I:I,A23,Backlog!H:H)</f>
        <v>34</v>
      </c>
    </row>
    <row r="24" customFormat="false" ht="15" hidden="false" customHeight="false" outlineLevel="0" collapsed="false">
      <c r="A24" s="15" t="s">
        <v>20</v>
      </c>
      <c r="B24" s="12" t="n">
        <f aca="false">COUNTIF(Backlog!I:I,A24)</f>
        <v>7</v>
      </c>
      <c r="C24" s="12" t="n">
        <f aca="false">SUMIF(Backlog!I:I,A24,Backlog!H:H)</f>
        <v>31</v>
      </c>
    </row>
    <row r="25" customFormat="false" ht="15" hidden="false" customHeight="false" outlineLevel="0" collapsed="false">
      <c r="A25" s="15" t="s">
        <v>35</v>
      </c>
      <c r="B25" s="12" t="n">
        <f aca="false">COUNTIF(Backlog!I:I,A25)</f>
        <v>7</v>
      </c>
      <c r="C25" s="12" t="n">
        <f aca="false">SUMIF(Backlog!I:I,A25,Backlog!H:H)</f>
        <v>32</v>
      </c>
    </row>
    <row r="26" customFormat="false" ht="15" hidden="false" customHeight="false" outlineLevel="0" collapsed="false">
      <c r="A26" s="15" t="s">
        <v>103</v>
      </c>
      <c r="B26" s="12" t="n">
        <f aca="false">COUNTIF(Backlog!I:I,A26)</f>
        <v>9</v>
      </c>
      <c r="C26" s="12" t="n">
        <f aca="false">SUMIF(Backlog!I:I,A26,Backlog!H:H)</f>
        <v>39</v>
      </c>
    </row>
    <row r="27" customFormat="false" ht="15" hidden="false" customHeight="false" outlineLevel="0" collapsed="false">
      <c r="A27" s="15" t="s">
        <v>99</v>
      </c>
      <c r="B27" s="12" t="n">
        <f aca="false">COUNTIF(Backlog!I:I,A27)</f>
        <v>6</v>
      </c>
      <c r="C27" s="12" t="n">
        <f aca="false">SUMIF(Backlog!I:I,A27,Backlog!H:H)</f>
        <v>34</v>
      </c>
    </row>
    <row r="28" customFormat="false" ht="15" hidden="false" customHeight="false" outlineLevel="0" collapsed="false">
      <c r="A28" s="15" t="s">
        <v>120</v>
      </c>
      <c r="B28" s="12" t="n">
        <f aca="false">COUNTIF(Backlog!I:I,A28)</f>
        <v>2</v>
      </c>
      <c r="C28" s="12" t="n">
        <f aca="false">SUMIF(Backlog!I:I,A28,Backlog!H:H)</f>
        <v>13</v>
      </c>
    </row>
    <row r="29" customFormat="false" ht="15" hidden="false" customHeight="false" outlineLevel="0" collapsed="false">
      <c r="A29" s="15" t="s">
        <v>174</v>
      </c>
      <c r="B29" s="12" t="n">
        <f aca="false">COUNTIF(Backlog!I:I,A29)</f>
        <v>13</v>
      </c>
      <c r="C29" s="12" t="n">
        <f aca="false">SUMIF(Backlog!I:I,A29,Backlog!H:H)</f>
        <v>101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2026-09-09T02:18:08Z</dcterms:created>
  <dc:creator>openpyxl</dc:creator>
  <dc:description/>
  <dc:language>en-US</dc:language>
  <cp:lastModifiedBy/>
  <dcterms:modified xsi:type="dcterms:W3CDTF">2026-09-09T02:18:08Z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